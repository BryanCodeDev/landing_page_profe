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A5722174-F6FB-4F6B-BFFA-5BCF68C0C8F3}" xr6:coauthVersionLast="47" xr6:coauthVersionMax="47" xr10:uidLastSave="{00000000-0000-0000-0000-000000000000}"/>
  <bookViews>
    <workbookView xWindow="-108" yWindow="-108" windowWidth="19416" windowHeight="10416" tabRatio="754" activeTab="2" xr2:uid="{00000000-000D-0000-FFFF-FFFF00000000}"/>
  </bookViews>
  <sheets>
    <sheet name="Función SI" sheetId="1" r:id="rId1"/>
    <sheet name="Sumar.si Contar.SI" sheetId="3" r:id="rId2"/>
    <sheet name="Filtros Avanzados" sheetId="9" r:id="rId3"/>
  </sheets>
  <externalReferences>
    <externalReference r:id="rId4"/>
    <externalReference r:id="rId5"/>
  </externalReferences>
  <definedNames>
    <definedName name="Abril" localSheetId="2">#REF!</definedName>
    <definedName name="Abril">#REF!</definedName>
    <definedName name="anscount" hidden="1">2</definedName>
    <definedName name="Apellido" localSheetId="2">'[1]27'!$C$15:$C$22</definedName>
    <definedName name="Apellido">'[2]27'!$C$15:$C$22</definedName>
    <definedName name="base_datos" localSheetId="2">'[1]76'!$A$58:$E$74</definedName>
    <definedName name="base_datos">'[2]76'!$A$58:$E$74</definedName>
    <definedName name="BudgetTab" localSheetId="2">#REF!</definedName>
    <definedName name="BudgetTab">#REF!</definedName>
    <definedName name="Code" localSheetId="2">'[1]35'!$A$1:$A$12</definedName>
    <definedName name="Code">'[2]35'!$A$1:$A$12</definedName>
    <definedName name="Código" localSheetId="2">#REF!</definedName>
    <definedName name="Código">#REF!</definedName>
    <definedName name="Colegios" localSheetId="2">#REF!</definedName>
    <definedName name="Colegios">#REF!</definedName>
    <definedName name="Comida" localSheetId="2">#REF!</definedName>
    <definedName name="Comida">#REF!</definedName>
    <definedName name="cuota" localSheetId="2">'[1]32'!$A$11:$D$28</definedName>
    <definedName name="cuota">'[2]32'!$A$11:$D$28</definedName>
    <definedName name="Domicilio" localSheetId="2">'[1]27'!$D$15:$D$22</definedName>
    <definedName name="Domicilio">'[2]27'!$D$15:$D$22</definedName>
    <definedName name="Enero" localSheetId="2">#REF!</definedName>
    <definedName name="Enero">#REF!</definedName>
    <definedName name="Febrero" localSheetId="2">#REF!</definedName>
    <definedName name="Febrero">#REF!</definedName>
    <definedName name="Gasolina" localSheetId="2">#REF!</definedName>
    <definedName name="Gasolina">#REF!</definedName>
    <definedName name="Luz" localSheetId="2">#REF!</definedName>
    <definedName name="Luz">#REF!</definedName>
    <definedName name="Marzo" localSheetId="2">#REF!</definedName>
    <definedName name="Marzo">#REF!</definedName>
    <definedName name="Nombre" localSheetId="2">'[1]27'!$B$15:$B$22</definedName>
    <definedName name="Nombre">'[2]27'!$B$15:$B$22</definedName>
    <definedName name="Ocio" localSheetId="2">#REF!</definedName>
    <definedName name="Ocio">#REF!</definedName>
    <definedName name="Saldo_pdte." localSheetId="2">'[1]27'!$F$15:$F$22</definedName>
    <definedName name="Saldo_pdte.">'[2]27'!$F$15:$F$22</definedName>
    <definedName name="sencount" hidden="1">1</definedName>
    <definedName name="Teléfono" localSheetId="2">#REF!</definedName>
    <definedName name="Teléfo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0" i="9" l="1"/>
</calcChain>
</file>

<file path=xl/sharedStrings.xml><?xml version="1.0" encoding="utf-8"?>
<sst xmlns="http://schemas.openxmlformats.org/spreadsheetml/2006/main" count="112" uniqueCount="98">
  <si>
    <t>No.</t>
  </si>
  <si>
    <t>Código Crédito</t>
  </si>
  <si>
    <t>Monto</t>
  </si>
  <si>
    <t>Comisión Ejecutivo</t>
  </si>
  <si>
    <t>IN-02561</t>
  </si>
  <si>
    <t>CO-02361</t>
  </si>
  <si>
    <t>CO-02565</t>
  </si>
  <si>
    <t>CO-01474</t>
  </si>
  <si>
    <t>IN-05696</t>
  </si>
  <si>
    <t>IN-04578</t>
  </si>
  <si>
    <t>CO-01245</t>
  </si>
  <si>
    <t>RE-06396</t>
  </si>
  <si>
    <t>CO-09860</t>
  </si>
  <si>
    <t>IN-09874</t>
  </si>
  <si>
    <t>NOMBRE</t>
  </si>
  <si>
    <t>ZONA</t>
  </si>
  <si>
    <t>VENTA</t>
  </si>
  <si>
    <t>Juan Gabriel</t>
  </si>
  <si>
    <t>Pedro Hernández</t>
  </si>
  <si>
    <t>Luis Miguel</t>
  </si>
  <si>
    <t>Carlos Perfecto</t>
  </si>
  <si>
    <t>Manuel Lara</t>
  </si>
  <si>
    <t>Hugo Zamora</t>
  </si>
  <si>
    <t>Sergio Humala</t>
  </si>
  <si>
    <t>Bruno Díaz</t>
  </si>
  <si>
    <t>Diego Torrens</t>
  </si>
  <si>
    <t>Oriente</t>
  </si>
  <si>
    <t>Centro</t>
  </si>
  <si>
    <t>Occidente</t>
  </si>
  <si>
    <t>TOTAL VENTA</t>
  </si>
  <si>
    <t>Zonas</t>
  </si>
  <si>
    <t>Totales</t>
  </si>
  <si>
    <t>TOTAL VENDEDORES</t>
  </si>
  <si>
    <t>Se tiene una lista de 10 créditos y en una segunda columna tiene el importe por cada uno. En una tercera columna vamos a calcular la comisión que cobrará cada ejecutivo. Esta comisión sera del 10% para los créditos de menos de $50,000.00 y el 15% para los que alcanzaron o superaron esa cantidad.</t>
  </si>
  <si>
    <t>VIVIENDAS EN AREAS URBANAS Y RURALES</t>
  </si>
  <si>
    <t>Total del país. Año 1991.</t>
  </si>
  <si>
    <t>CODIGO
 PROV.</t>
  </si>
  <si>
    <t>PROVINCIA</t>
  </si>
  <si>
    <t>VIVIENDAS</t>
  </si>
  <si>
    <t>REGION</t>
  </si>
  <si>
    <t>URBANA</t>
  </si>
  <si>
    <t>RURAL</t>
  </si>
  <si>
    <t>TOTAL 
VIVIENDAS</t>
  </si>
  <si>
    <t>VIVIENDAS
URBANAS</t>
  </si>
  <si>
    <t>PORCENTAJE
V. URBANAS</t>
  </si>
  <si>
    <t>VIVIENDAS
RURALES</t>
  </si>
  <si>
    <t>PORCENTAJE
V. RURALES</t>
  </si>
  <si>
    <t>BAS</t>
  </si>
  <si>
    <t>Buenos Aires</t>
  </si>
  <si>
    <t>ATM</t>
  </si>
  <si>
    <t>Catamarca</t>
  </si>
  <si>
    <t>CHA</t>
  </si>
  <si>
    <t>Chaco</t>
  </si>
  <si>
    <t>CHU</t>
  </si>
  <si>
    <t>Chubut</t>
  </si>
  <si>
    <t>CBA</t>
  </si>
  <si>
    <t>Ciudad de Buenos Aires</t>
  </si>
  <si>
    <t>CDB</t>
  </si>
  <si>
    <t>Córdoba</t>
  </si>
  <si>
    <t>CRR</t>
  </si>
  <si>
    <t>Corrientes</t>
  </si>
  <si>
    <t>ERR</t>
  </si>
  <si>
    <t>Entre Ríos</t>
  </si>
  <si>
    <t>FRM</t>
  </si>
  <si>
    <t>Formosa</t>
  </si>
  <si>
    <t>JJY</t>
  </si>
  <si>
    <t>Jujuy</t>
  </si>
  <si>
    <t>LPP</t>
  </si>
  <si>
    <t>La Pampa</t>
  </si>
  <si>
    <t>LRJ</t>
  </si>
  <si>
    <t>La Rioja</t>
  </si>
  <si>
    <t>MND</t>
  </si>
  <si>
    <t>Mendoza</t>
  </si>
  <si>
    <t>MSN</t>
  </si>
  <si>
    <t>Misiones</t>
  </si>
  <si>
    <t>NQN</t>
  </si>
  <si>
    <t>Neuquén</t>
  </si>
  <si>
    <t>RNG</t>
  </si>
  <si>
    <t>Río Negro</t>
  </si>
  <si>
    <t>SLT</t>
  </si>
  <si>
    <t>Salta</t>
  </si>
  <si>
    <t>SJN</t>
  </si>
  <si>
    <t>San Juan</t>
  </si>
  <si>
    <t>SLS</t>
  </si>
  <si>
    <t>San Luis</t>
  </si>
  <si>
    <t>SCZ</t>
  </si>
  <si>
    <t>Santa Cruz</t>
  </si>
  <si>
    <t>STF</t>
  </si>
  <si>
    <t>Santa Fe</t>
  </si>
  <si>
    <t>SDE</t>
  </si>
  <si>
    <t>Santiago del Estero</t>
  </si>
  <si>
    <t>TDF</t>
  </si>
  <si>
    <t>Tierra del Fuego</t>
  </si>
  <si>
    <t>TCM</t>
  </si>
  <si>
    <t>Tucumán</t>
  </si>
  <si>
    <t>Fuente: INDEC, Censo Nacional de Población y Vivienda 1991, Serie G Nº4.</t>
  </si>
  <si>
    <t>1) Completar las columnas que faltan con los totales y los porcentuales correspondientes. 
2) Agregar una columna a la tabla, de modo que muestre los siguientes mensajes:
"Zona en emergencia" si la provincia pertenece a las zonas 3 o 4
"Zona en desarrollo" si pertenece a la zona 5
"Zona desarrollada" si pertenece a las zonas 1 o 2
3) Agregue formato condicional donde ZONA DE EMERGENCIA debe aparecer en color Rojo y en Negrita.
4) Crear un filtro avanzado que muestre los registros con más de 70000 y menos de 100000 viviendas Urbanas
5) Cree un nuevo filtro avanzado donde muestre únicamente la región 3 y 4 .</t>
  </si>
  <si>
    <t>TIPO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</si>
</sst>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7" formatCode="000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Maiandra GD"/>
      <family val="2"/>
    </font>
    <font>
      <sz val="10"/>
      <name val="Maiandra GD"/>
      <family val="2"/>
    </font>
    <font>
      <b/>
      <sz val="9"/>
      <name val="Maiandra G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70C0"/>
      </left>
      <right style="dotted">
        <color rgb="FF0070C0"/>
      </right>
      <top style="thin">
        <color rgb="FF0070C0"/>
      </top>
      <bottom style="dotted">
        <color rgb="FF0070C0"/>
      </bottom>
      <diagonal/>
    </border>
    <border>
      <left style="dotted">
        <color rgb="FF0070C0"/>
      </left>
      <right style="dotted">
        <color rgb="FF0070C0"/>
      </right>
      <top style="thin">
        <color rgb="FF0070C0"/>
      </top>
      <bottom style="dotted">
        <color rgb="FF0070C0"/>
      </bottom>
      <diagonal/>
    </border>
    <border>
      <left style="dotted">
        <color rgb="FF0070C0"/>
      </left>
      <right style="thin">
        <color rgb="FF0070C0"/>
      </right>
      <top style="thin">
        <color rgb="FF0070C0"/>
      </top>
      <bottom style="dotted">
        <color rgb="FF0070C0"/>
      </bottom>
      <diagonal/>
    </border>
    <border>
      <left style="thin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 style="dotted">
        <color rgb="FF0070C0"/>
      </left>
      <right style="thin">
        <color rgb="FF0070C0"/>
      </right>
      <top style="dotted">
        <color rgb="FF0070C0"/>
      </top>
      <bottom style="dotted">
        <color rgb="FF0070C0"/>
      </bottom>
      <diagonal/>
    </border>
    <border>
      <left style="thin">
        <color rgb="FF0070C0"/>
      </left>
      <right style="dotted">
        <color rgb="FF0070C0"/>
      </right>
      <top style="dotted">
        <color rgb="FF0070C0"/>
      </top>
      <bottom style="thin">
        <color rgb="FF0070C0"/>
      </bottom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thin">
        <color rgb="FF0070C0"/>
      </bottom>
      <diagonal/>
    </border>
    <border>
      <left style="dotted">
        <color rgb="FF0070C0"/>
      </left>
      <right style="thin">
        <color rgb="FF0070C0"/>
      </right>
      <top style="dotted">
        <color rgb="FF0070C0"/>
      </top>
      <bottom style="thin">
        <color rgb="FF0070C0"/>
      </bottom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hair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hair">
        <color rgb="FF0070C0"/>
      </right>
      <top style="hair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  <border>
      <left style="thin">
        <color rgb="FF0070C0"/>
      </left>
      <right style="dotted">
        <color rgb="FF0070C0"/>
      </right>
      <top/>
      <bottom style="dotted">
        <color rgb="FF0070C0"/>
      </bottom>
      <diagonal/>
    </border>
    <border>
      <left style="dotted">
        <color rgb="FF0070C0"/>
      </left>
      <right style="dotted">
        <color rgb="FF0070C0"/>
      </right>
      <top/>
      <bottom style="dotted">
        <color rgb="FF0070C0"/>
      </bottom>
      <diagonal/>
    </border>
    <border>
      <left style="dotted">
        <color rgb="FF0070C0"/>
      </left>
      <right style="thin">
        <color rgb="FF0070C0"/>
      </right>
      <top/>
      <bottom style="dotted">
        <color rgb="FF0070C0"/>
      </bottom>
      <diagonal/>
    </border>
    <border>
      <left style="dotted">
        <color rgb="FF0070C0"/>
      </left>
      <right/>
      <top style="thin">
        <color rgb="FF0070C0"/>
      </top>
      <bottom style="dotted">
        <color rgb="FF0070C0"/>
      </bottom>
      <diagonal/>
    </border>
    <border>
      <left/>
      <right/>
      <top style="thin">
        <color rgb="FF0070C0"/>
      </top>
      <bottom style="dotted">
        <color rgb="FF0070C0"/>
      </bottom>
      <diagonal/>
    </border>
    <border>
      <left/>
      <right style="dotted">
        <color rgb="FF0070C0"/>
      </right>
      <top style="thin">
        <color rgb="FF0070C0"/>
      </top>
      <bottom style="dotted">
        <color rgb="FF0070C0"/>
      </bottom>
      <diagonal/>
    </border>
    <border>
      <left style="dotted">
        <color rgb="FF0070C0"/>
      </left>
      <right/>
      <top style="dotted">
        <color rgb="FF0070C0"/>
      </top>
      <bottom style="dotted">
        <color rgb="FF0070C0"/>
      </bottom>
      <diagonal/>
    </border>
    <border>
      <left/>
      <right style="dotted">
        <color rgb="FF0070C0"/>
      </right>
      <top style="dotted">
        <color rgb="FF0070C0"/>
      </top>
      <bottom style="dotted">
        <color rgb="FF0070C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7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6" xfId="0" applyNumberFormat="1" applyBorder="1"/>
    <xf numFmtId="164" fontId="0" fillId="0" borderId="9" xfId="0" applyNumberFormat="1" applyBorder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 applyAlignment="1">
      <alignment horizontal="left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167" fontId="3" fillId="0" borderId="0" xfId="2" applyNumberFormat="1" applyFont="1" applyAlignment="1" applyProtection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0" fontId="4" fillId="0" borderId="0" xfId="2" applyFont="1" applyAlignment="1" applyProtection="1">
      <alignment horizontal="left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 applyProtection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 applyProtection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 applyProtection="1">
      <alignment horizontal="center" vertical="center"/>
    </xf>
    <xf numFmtId="0" fontId="5" fillId="2" borderId="8" xfId="2" applyFont="1" applyFill="1" applyBorder="1" applyAlignment="1" applyProtection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/>
    </xf>
    <xf numFmtId="0" fontId="4" fillId="0" borderId="16" xfId="2" applyFont="1" applyBorder="1" applyAlignment="1">
      <alignment horizontal="center"/>
    </xf>
    <xf numFmtId="0" fontId="4" fillId="0" borderId="17" xfId="2" applyFont="1" applyBorder="1" applyAlignment="1" applyProtection="1">
      <alignment horizontal="left"/>
    </xf>
    <xf numFmtId="3" fontId="4" fillId="0" borderId="17" xfId="2" applyNumberFormat="1" applyFont="1" applyBorder="1" applyAlignment="1" applyProtection="1">
      <alignment horizontal="right"/>
    </xf>
    <xf numFmtId="168" fontId="4" fillId="0" borderId="17" xfId="2" applyNumberFormat="1" applyFont="1" applyBorder="1" applyAlignment="1">
      <alignment horizontal="right"/>
    </xf>
    <xf numFmtId="0" fontId="4" fillId="0" borderId="18" xfId="2" applyFont="1" applyBorder="1" applyAlignment="1">
      <alignment horizontal="center"/>
    </xf>
    <xf numFmtId="168" fontId="4" fillId="0" borderId="0" xfId="2" applyNumberFormat="1" applyFont="1"/>
    <xf numFmtId="0" fontId="4" fillId="0" borderId="4" xfId="2" applyFont="1" applyBorder="1" applyAlignment="1">
      <alignment horizontal="center"/>
    </xf>
    <xf numFmtId="0" fontId="4" fillId="0" borderId="5" xfId="2" applyFont="1" applyBorder="1" applyAlignment="1" applyProtection="1">
      <alignment horizontal="left"/>
    </xf>
    <xf numFmtId="3" fontId="4" fillId="0" borderId="5" xfId="2" applyNumberFormat="1" applyFont="1" applyBorder="1" applyAlignment="1" applyProtection="1">
      <alignment horizontal="right"/>
    </xf>
    <xf numFmtId="168" fontId="4" fillId="0" borderId="5" xfId="2" applyNumberFormat="1" applyFont="1" applyBorder="1" applyAlignment="1">
      <alignment horizontal="right"/>
    </xf>
    <xf numFmtId="0" fontId="4" fillId="0" borderId="6" xfId="2" applyFont="1" applyBorder="1" applyAlignment="1">
      <alignment horizontal="center"/>
    </xf>
    <xf numFmtId="3" fontId="4" fillId="0" borderId="5" xfId="2" applyNumberFormat="1" applyFont="1" applyBorder="1" applyAlignment="1">
      <alignment horizontal="right"/>
    </xf>
    <xf numFmtId="0" fontId="4" fillId="0" borderId="7" xfId="2" applyFont="1" applyBorder="1" applyAlignment="1">
      <alignment horizontal="center"/>
    </xf>
    <xf numFmtId="0" fontId="4" fillId="0" borderId="8" xfId="2" applyFont="1" applyBorder="1" applyAlignment="1" applyProtection="1">
      <alignment horizontal="left"/>
    </xf>
    <xf numFmtId="3" fontId="4" fillId="0" borderId="8" xfId="2" applyNumberFormat="1" applyFont="1" applyBorder="1" applyAlignment="1" applyProtection="1">
      <alignment horizontal="right"/>
    </xf>
    <xf numFmtId="168" fontId="4" fillId="0" borderId="8" xfId="2" applyNumberFormat="1" applyFont="1" applyBorder="1" applyAlignment="1">
      <alignment horizontal="right"/>
    </xf>
    <xf numFmtId="0" fontId="4" fillId="0" borderId="9" xfId="2" applyFont="1" applyBorder="1" applyAlignment="1">
      <alignment horizontal="center"/>
    </xf>
    <xf numFmtId="0" fontId="4" fillId="0" borderId="0" xfId="2" applyFont="1" applyAlignment="1">
      <alignment horizontal="right"/>
    </xf>
    <xf numFmtId="0" fontId="4" fillId="0" borderId="0" xfId="2" applyFont="1" applyAlignment="1" applyProtection="1">
      <alignment horizontal="left"/>
    </xf>
    <xf numFmtId="0" fontId="4" fillId="0" borderId="0" xfId="2" applyFont="1" applyFill="1" applyBorder="1" applyAlignment="1">
      <alignment horizontal="center"/>
    </xf>
    <xf numFmtId="0" fontId="4" fillId="0" borderId="0" xfId="2" applyFont="1" applyFill="1" applyBorder="1"/>
    <xf numFmtId="0" fontId="4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Border="1" applyAlignment="1">
      <alignment horizontal="left"/>
    </xf>
    <xf numFmtId="0" fontId="4" fillId="0" borderId="0" xfId="2" applyFont="1" applyBorder="1"/>
    <xf numFmtId="0" fontId="5" fillId="2" borderId="5" xfId="2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justify" wrapText="1"/>
    </xf>
    <xf numFmtId="0" fontId="4" fillId="0" borderId="0" xfId="2" applyFont="1" applyAlignment="1" applyProtection="1">
      <alignment horizontal="left"/>
    </xf>
    <xf numFmtId="0" fontId="4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/>
    </xf>
    <xf numFmtId="167" fontId="3" fillId="0" borderId="0" xfId="2" applyNumberFormat="1" applyFont="1" applyAlignment="1" applyProtection="1">
      <alignment horizontal="center"/>
    </xf>
    <xf numFmtId="0" fontId="5" fillId="2" borderId="19" xfId="2" applyFont="1" applyFill="1" applyBorder="1" applyAlignment="1" applyProtection="1">
      <alignment horizontal="center" vertical="center"/>
    </xf>
    <xf numFmtId="0" fontId="5" fillId="2" borderId="20" xfId="2" applyFont="1" applyFill="1" applyBorder="1" applyAlignment="1" applyProtection="1">
      <alignment horizontal="center" vertical="center"/>
    </xf>
    <xf numFmtId="0" fontId="5" fillId="2" borderId="21" xfId="2" applyFont="1" applyFill="1" applyBorder="1" applyAlignment="1" applyProtection="1">
      <alignment horizontal="center" vertical="center"/>
    </xf>
    <xf numFmtId="0" fontId="5" fillId="2" borderId="22" xfId="2" applyFont="1" applyFill="1" applyBorder="1" applyAlignment="1" applyProtection="1">
      <alignment horizontal="center" vertical="center"/>
    </xf>
    <xf numFmtId="0" fontId="5" fillId="2" borderId="23" xfId="2" applyFont="1" applyFill="1" applyBorder="1" applyAlignment="1" applyProtection="1">
      <alignment horizontal="center" vertical="center"/>
    </xf>
  </cellXfs>
  <cellStyles count="3">
    <cellStyle name="Moned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Clases/Inform&#225;tica%20IQS/EjExcel99-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%20documentos\Clases\Inform&#225;tica%20IQS\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B15" t="str">
            <v>Angel</v>
          </cell>
          <cell r="C15" t="str">
            <v>Martín</v>
          </cell>
          <cell r="D15" t="str">
            <v>Lepanto 12</v>
          </cell>
          <cell r="F15">
            <v>505000</v>
          </cell>
        </row>
        <row r="16">
          <cell r="B16" t="str">
            <v>Jesús</v>
          </cell>
          <cell r="C16" t="str">
            <v>López</v>
          </cell>
          <cell r="D16" t="str">
            <v>Plaza  26</v>
          </cell>
          <cell r="F16">
            <v>50000</v>
          </cell>
        </row>
        <row r="17">
          <cell r="B17" t="str">
            <v>Marta</v>
          </cell>
          <cell r="C17" t="str">
            <v>Anderson</v>
          </cell>
          <cell r="D17" t="str">
            <v>Ramblas  55</v>
          </cell>
          <cell r="F17">
            <v>240000</v>
          </cell>
        </row>
        <row r="18">
          <cell r="B18" t="str">
            <v>Mercedes</v>
          </cell>
          <cell r="C18" t="str">
            <v>Antón</v>
          </cell>
          <cell r="D18" t="str">
            <v>Pº Colón  79</v>
          </cell>
          <cell r="F18">
            <v>75000</v>
          </cell>
        </row>
        <row r="19">
          <cell r="B19" t="str">
            <v>José</v>
          </cell>
          <cell r="C19" t="str">
            <v>Esteve</v>
          </cell>
          <cell r="D19" t="str">
            <v>París  2</v>
          </cell>
          <cell r="F19">
            <v>1125000</v>
          </cell>
        </row>
        <row r="20">
          <cell r="B20" t="str">
            <v>Fernando</v>
          </cell>
          <cell r="C20" t="str">
            <v>Moreno</v>
          </cell>
          <cell r="D20" t="str">
            <v>Ciudad  38</v>
          </cell>
          <cell r="F20">
            <v>985000</v>
          </cell>
        </row>
        <row r="21">
          <cell r="B21" t="str">
            <v>Isabel</v>
          </cell>
          <cell r="C21" t="str">
            <v>Gracia</v>
          </cell>
          <cell r="D21" t="str">
            <v>Frontera 123</v>
          </cell>
          <cell r="F21">
            <v>200000</v>
          </cell>
        </row>
        <row r="22">
          <cell r="B22" t="str">
            <v>Carlos</v>
          </cell>
          <cell r="C22" t="str">
            <v>Fernández</v>
          </cell>
          <cell r="D22" t="str">
            <v>Castilla  90</v>
          </cell>
          <cell r="F22">
            <v>750000</v>
          </cell>
        </row>
      </sheetData>
      <sheetData sheetId="28"/>
      <sheetData sheetId="29"/>
      <sheetData sheetId="30"/>
      <sheetData sheetId="31"/>
      <sheetData sheetId="32">
        <row r="11">
          <cell r="A11">
            <v>0</v>
          </cell>
          <cell r="B11">
            <v>0</v>
          </cell>
          <cell r="C11">
            <v>430000</v>
          </cell>
          <cell r="D11">
            <v>0</v>
          </cell>
        </row>
        <row r="12">
          <cell r="A12">
            <v>430000</v>
          </cell>
          <cell r="B12">
            <v>0</v>
          </cell>
          <cell r="C12">
            <v>642000</v>
          </cell>
          <cell r="D12">
            <v>20</v>
          </cell>
        </row>
        <row r="13">
          <cell r="A13">
            <v>1072000</v>
          </cell>
          <cell r="B13">
            <v>128400</v>
          </cell>
          <cell r="C13">
            <v>610000</v>
          </cell>
          <cell r="D13">
            <v>22</v>
          </cell>
        </row>
        <row r="14">
          <cell r="A14">
            <v>1682000</v>
          </cell>
          <cell r="B14">
            <v>262600</v>
          </cell>
          <cell r="C14">
            <v>610000</v>
          </cell>
          <cell r="D14">
            <v>24.5</v>
          </cell>
        </row>
        <row r="15">
          <cell r="A15">
            <v>2292000</v>
          </cell>
          <cell r="B15">
            <v>412050</v>
          </cell>
          <cell r="C15">
            <v>610000</v>
          </cell>
          <cell r="D15">
            <v>27</v>
          </cell>
        </row>
        <row r="16">
          <cell r="A16">
            <v>2902000</v>
          </cell>
          <cell r="B16">
            <v>576750</v>
          </cell>
          <cell r="C16">
            <v>610000</v>
          </cell>
          <cell r="D16">
            <v>30</v>
          </cell>
        </row>
        <row r="17">
          <cell r="A17">
            <v>3512000</v>
          </cell>
          <cell r="B17">
            <v>759750</v>
          </cell>
          <cell r="C17">
            <v>610000</v>
          </cell>
          <cell r="D17">
            <v>32</v>
          </cell>
        </row>
        <row r="18">
          <cell r="A18">
            <v>4122000</v>
          </cell>
          <cell r="B18">
            <v>954950</v>
          </cell>
          <cell r="C18">
            <v>610000</v>
          </cell>
          <cell r="D18">
            <v>34</v>
          </cell>
        </row>
        <row r="19">
          <cell r="A19">
            <v>4732000</v>
          </cell>
          <cell r="B19">
            <v>1162350</v>
          </cell>
          <cell r="C19">
            <v>610000</v>
          </cell>
          <cell r="D19">
            <v>36</v>
          </cell>
        </row>
        <row r="20">
          <cell r="A20">
            <v>5342000</v>
          </cell>
          <cell r="B20">
            <v>1381950</v>
          </cell>
          <cell r="C20">
            <v>610000</v>
          </cell>
          <cell r="D20">
            <v>38</v>
          </cell>
        </row>
        <row r="21">
          <cell r="A21">
            <v>5952000</v>
          </cell>
          <cell r="B21">
            <v>1613750</v>
          </cell>
          <cell r="C21">
            <v>610000</v>
          </cell>
          <cell r="D21">
            <v>40</v>
          </cell>
        </row>
        <row r="22">
          <cell r="A22">
            <v>6562000</v>
          </cell>
          <cell r="B22">
            <v>1857750</v>
          </cell>
          <cell r="C22">
            <v>610000</v>
          </cell>
          <cell r="D22">
            <v>42.5</v>
          </cell>
        </row>
        <row r="23">
          <cell r="A23">
            <v>7172000</v>
          </cell>
          <cell r="B23">
            <v>2117000</v>
          </cell>
          <cell r="C23">
            <v>610000</v>
          </cell>
          <cell r="D23">
            <v>45</v>
          </cell>
        </row>
        <row r="24">
          <cell r="A24">
            <v>7782000</v>
          </cell>
          <cell r="B24">
            <v>2391500</v>
          </cell>
          <cell r="C24">
            <v>610000</v>
          </cell>
          <cell r="D24">
            <v>47</v>
          </cell>
        </row>
        <row r="25">
          <cell r="A25">
            <v>8392000</v>
          </cell>
          <cell r="B25">
            <v>2678200</v>
          </cell>
          <cell r="C25">
            <v>610000</v>
          </cell>
          <cell r="D25">
            <v>49</v>
          </cell>
        </row>
        <row r="26">
          <cell r="A26">
            <v>9002000</v>
          </cell>
          <cell r="B26">
            <v>2977100</v>
          </cell>
          <cell r="C26">
            <v>610000</v>
          </cell>
          <cell r="D26">
            <v>51</v>
          </cell>
        </row>
        <row r="27">
          <cell r="A27">
            <v>9612000</v>
          </cell>
          <cell r="B27">
            <v>3288200</v>
          </cell>
          <cell r="C27">
            <v>610000</v>
          </cell>
          <cell r="D27">
            <v>53.5</v>
          </cell>
        </row>
        <row r="28">
          <cell r="A28">
            <v>10222000</v>
          </cell>
          <cell r="B28">
            <v>3614550</v>
          </cell>
          <cell r="C28" t="str">
            <v>en adelante</v>
          </cell>
          <cell r="D28">
            <v>56</v>
          </cell>
        </row>
      </sheetData>
      <sheetData sheetId="33"/>
      <sheetData sheetId="34"/>
      <sheetData sheetId="35">
        <row r="1">
          <cell r="A1" t="str">
            <v>EJERCICIO 35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58">
          <cell r="A58" t="str">
            <v>Parador</v>
          </cell>
          <cell r="B58" t="str">
            <v>Categoría</v>
          </cell>
          <cell r="C58" t="str">
            <v>Provincia</v>
          </cell>
          <cell r="D58" t="str">
            <v>Precio</v>
          </cell>
          <cell r="E58" t="str">
            <v>Promoción</v>
          </cell>
        </row>
        <row r="59">
          <cell r="A59" t="str">
            <v>Antequera</v>
          </cell>
          <cell r="B59">
            <v>3</v>
          </cell>
          <cell r="C59" t="str">
            <v>Málaga</v>
          </cell>
          <cell r="D59">
            <v>7200</v>
          </cell>
          <cell r="E59" t="str">
            <v>Sí</v>
          </cell>
        </row>
        <row r="60">
          <cell r="A60" t="str">
            <v>Arcos</v>
          </cell>
          <cell r="B60">
            <v>3</v>
          </cell>
          <cell r="C60" t="str">
            <v>Cádiz</v>
          </cell>
          <cell r="D60">
            <v>9350</v>
          </cell>
          <cell r="E60" t="str">
            <v>Sí</v>
          </cell>
        </row>
        <row r="61">
          <cell r="A61" t="str">
            <v>Ayamonte</v>
          </cell>
          <cell r="B61">
            <v>4</v>
          </cell>
          <cell r="C61" t="str">
            <v>Huelva</v>
          </cell>
          <cell r="D61">
            <v>8000</v>
          </cell>
          <cell r="E61" t="str">
            <v>No</v>
          </cell>
        </row>
        <row r="62">
          <cell r="A62" t="str">
            <v>Cádiz</v>
          </cell>
          <cell r="B62">
            <v>4</v>
          </cell>
          <cell r="C62" t="str">
            <v>Cádiz</v>
          </cell>
          <cell r="D62">
            <v>8000</v>
          </cell>
          <cell r="E62" t="str">
            <v>Sí</v>
          </cell>
        </row>
        <row r="63">
          <cell r="A63" t="str">
            <v>Carmona</v>
          </cell>
          <cell r="B63">
            <v>4</v>
          </cell>
          <cell r="C63" t="str">
            <v>Sevilla</v>
          </cell>
          <cell r="D63">
            <v>9850</v>
          </cell>
          <cell r="E63" t="str">
            <v>No</v>
          </cell>
        </row>
        <row r="64">
          <cell r="A64" t="str">
            <v>Cazorla</v>
          </cell>
          <cell r="B64">
            <v>3</v>
          </cell>
          <cell r="C64" t="str">
            <v>Jaén</v>
          </cell>
          <cell r="D64">
            <v>8000</v>
          </cell>
          <cell r="E64" t="str">
            <v>Sí</v>
          </cell>
        </row>
        <row r="65">
          <cell r="A65" t="str">
            <v>Córdoba</v>
          </cell>
          <cell r="B65">
            <v>4</v>
          </cell>
          <cell r="C65" t="str">
            <v>Córdoba</v>
          </cell>
          <cell r="D65">
            <v>8000</v>
          </cell>
          <cell r="E65" t="str">
            <v>Sí</v>
          </cell>
        </row>
        <row r="66">
          <cell r="A66" t="str">
            <v>Gibralfaro</v>
          </cell>
          <cell r="B66">
            <v>4</v>
          </cell>
          <cell r="C66" t="str">
            <v>Málaga</v>
          </cell>
          <cell r="D66">
            <v>10150</v>
          </cell>
          <cell r="E66" t="str">
            <v>No</v>
          </cell>
        </row>
        <row r="67">
          <cell r="A67" t="str">
            <v>Granada</v>
          </cell>
          <cell r="B67">
            <v>4</v>
          </cell>
          <cell r="C67" t="str">
            <v>Granada</v>
          </cell>
          <cell r="D67">
            <v>17650</v>
          </cell>
          <cell r="E67" t="str">
            <v>No</v>
          </cell>
        </row>
        <row r="68">
          <cell r="A68" t="str">
            <v>Jaén</v>
          </cell>
          <cell r="B68">
            <v>4</v>
          </cell>
          <cell r="C68" t="str">
            <v>Jaén</v>
          </cell>
          <cell r="D68">
            <v>9350</v>
          </cell>
          <cell r="E68" t="str">
            <v>Sí</v>
          </cell>
        </row>
        <row r="69">
          <cell r="A69" t="str">
            <v>Málaga</v>
          </cell>
          <cell r="B69">
            <v>4</v>
          </cell>
          <cell r="C69" t="str">
            <v>Málaga</v>
          </cell>
          <cell r="D69">
            <v>9350</v>
          </cell>
          <cell r="E69" t="str">
            <v>No</v>
          </cell>
        </row>
        <row r="70">
          <cell r="A70" t="str">
            <v>Mazagón</v>
          </cell>
          <cell r="B70">
            <v>4</v>
          </cell>
          <cell r="C70" t="str">
            <v>Huelva</v>
          </cell>
          <cell r="D70">
            <v>10150</v>
          </cell>
          <cell r="E70" t="str">
            <v>No</v>
          </cell>
        </row>
        <row r="71">
          <cell r="A71" t="str">
            <v>Mojácar</v>
          </cell>
          <cell r="B71">
            <v>4</v>
          </cell>
          <cell r="C71" t="str">
            <v>Almería</v>
          </cell>
          <cell r="D71">
            <v>8000</v>
          </cell>
          <cell r="E71" t="str">
            <v>No</v>
          </cell>
        </row>
        <row r="72">
          <cell r="A72" t="str">
            <v>Nerja</v>
          </cell>
          <cell r="B72">
            <v>4</v>
          </cell>
          <cell r="C72" t="str">
            <v>Málaga</v>
          </cell>
          <cell r="D72">
            <v>10150</v>
          </cell>
          <cell r="E72" t="str">
            <v>No</v>
          </cell>
        </row>
        <row r="73">
          <cell r="A73" t="str">
            <v>Ronda</v>
          </cell>
          <cell r="B73">
            <v>4</v>
          </cell>
          <cell r="C73" t="str">
            <v>Málaga</v>
          </cell>
          <cell r="D73">
            <v>8000</v>
          </cell>
          <cell r="E73" t="str">
            <v>Sí</v>
          </cell>
        </row>
        <row r="74">
          <cell r="A74" t="str">
            <v>Ubeda</v>
          </cell>
          <cell r="B74">
            <v>4</v>
          </cell>
          <cell r="C74" t="str">
            <v>Jaén</v>
          </cell>
          <cell r="D74">
            <v>8800</v>
          </cell>
          <cell r="E74" t="str">
            <v>Sí</v>
          </cell>
        </row>
      </sheetData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B15" t="str">
            <v>Angel</v>
          </cell>
          <cell r="C15" t="str">
            <v>Martín</v>
          </cell>
          <cell r="D15" t="str">
            <v>Lepanto 12</v>
          </cell>
          <cell r="F15">
            <v>505000</v>
          </cell>
        </row>
        <row r="16">
          <cell r="B16" t="str">
            <v>Jesús</v>
          </cell>
          <cell r="C16" t="str">
            <v>López</v>
          </cell>
          <cell r="D16" t="str">
            <v>Plaza  26</v>
          </cell>
          <cell r="F16">
            <v>50000</v>
          </cell>
        </row>
        <row r="17">
          <cell r="B17" t="str">
            <v>Marta</v>
          </cell>
          <cell r="C17" t="str">
            <v>Anderson</v>
          </cell>
          <cell r="D17" t="str">
            <v>Ramblas  55</v>
          </cell>
          <cell r="F17">
            <v>240000</v>
          </cell>
        </row>
        <row r="18">
          <cell r="B18" t="str">
            <v>Mercedes</v>
          </cell>
          <cell r="C18" t="str">
            <v>Antón</v>
          </cell>
          <cell r="D18" t="str">
            <v>Pº Colón  79</v>
          </cell>
          <cell r="F18">
            <v>75000</v>
          </cell>
        </row>
        <row r="19">
          <cell r="B19" t="str">
            <v>José</v>
          </cell>
          <cell r="C19" t="str">
            <v>Esteve</v>
          </cell>
          <cell r="D19" t="str">
            <v>París  2</v>
          </cell>
          <cell r="F19">
            <v>1125000</v>
          </cell>
        </row>
        <row r="20">
          <cell r="B20" t="str">
            <v>Fernando</v>
          </cell>
          <cell r="C20" t="str">
            <v>Moreno</v>
          </cell>
          <cell r="D20" t="str">
            <v>Ciudad  38</v>
          </cell>
          <cell r="F20">
            <v>985000</v>
          </cell>
        </row>
        <row r="21">
          <cell r="B21" t="str">
            <v>Isabel</v>
          </cell>
          <cell r="C21" t="str">
            <v>Gracia</v>
          </cell>
          <cell r="D21" t="str">
            <v>Frontera 123</v>
          </cell>
          <cell r="F21">
            <v>200000</v>
          </cell>
        </row>
        <row r="22">
          <cell r="B22" t="str">
            <v>Carlos</v>
          </cell>
          <cell r="C22" t="str">
            <v>Fernández</v>
          </cell>
          <cell r="D22" t="str">
            <v>Castilla  90</v>
          </cell>
          <cell r="F22">
            <v>750000</v>
          </cell>
        </row>
      </sheetData>
      <sheetData sheetId="28"/>
      <sheetData sheetId="29"/>
      <sheetData sheetId="30"/>
      <sheetData sheetId="31"/>
      <sheetData sheetId="32">
        <row r="11">
          <cell r="A11">
            <v>0</v>
          </cell>
          <cell r="B11">
            <v>0</v>
          </cell>
          <cell r="C11">
            <v>430000</v>
          </cell>
          <cell r="D11">
            <v>0</v>
          </cell>
        </row>
        <row r="12">
          <cell r="A12">
            <v>430000</v>
          </cell>
          <cell r="B12">
            <v>0</v>
          </cell>
          <cell r="C12">
            <v>642000</v>
          </cell>
          <cell r="D12">
            <v>20</v>
          </cell>
        </row>
        <row r="13">
          <cell r="A13">
            <v>1072000</v>
          </cell>
          <cell r="B13">
            <v>128400</v>
          </cell>
          <cell r="C13">
            <v>610000</v>
          </cell>
          <cell r="D13">
            <v>22</v>
          </cell>
        </row>
        <row r="14">
          <cell r="A14">
            <v>1682000</v>
          </cell>
          <cell r="B14">
            <v>262600</v>
          </cell>
          <cell r="C14">
            <v>610000</v>
          </cell>
          <cell r="D14">
            <v>24.5</v>
          </cell>
        </row>
        <row r="15">
          <cell r="A15">
            <v>2292000</v>
          </cell>
          <cell r="B15">
            <v>412050</v>
          </cell>
          <cell r="C15">
            <v>610000</v>
          </cell>
          <cell r="D15">
            <v>27</v>
          </cell>
        </row>
        <row r="16">
          <cell r="A16">
            <v>2902000</v>
          </cell>
          <cell r="B16">
            <v>576750</v>
          </cell>
          <cell r="C16">
            <v>610000</v>
          </cell>
          <cell r="D16">
            <v>30</v>
          </cell>
        </row>
        <row r="17">
          <cell r="A17">
            <v>3512000</v>
          </cell>
          <cell r="B17">
            <v>759750</v>
          </cell>
          <cell r="C17">
            <v>610000</v>
          </cell>
          <cell r="D17">
            <v>32</v>
          </cell>
        </row>
        <row r="18">
          <cell r="A18">
            <v>4122000</v>
          </cell>
          <cell r="B18">
            <v>954950</v>
          </cell>
          <cell r="C18">
            <v>610000</v>
          </cell>
          <cell r="D18">
            <v>34</v>
          </cell>
        </row>
        <row r="19">
          <cell r="A19">
            <v>4732000</v>
          </cell>
          <cell r="B19">
            <v>1162350</v>
          </cell>
          <cell r="C19">
            <v>610000</v>
          </cell>
          <cell r="D19">
            <v>36</v>
          </cell>
        </row>
        <row r="20">
          <cell r="A20">
            <v>5342000</v>
          </cell>
          <cell r="B20">
            <v>1381950</v>
          </cell>
          <cell r="C20">
            <v>610000</v>
          </cell>
          <cell r="D20">
            <v>38</v>
          </cell>
        </row>
        <row r="21">
          <cell r="A21">
            <v>5952000</v>
          </cell>
          <cell r="B21">
            <v>1613750</v>
          </cell>
          <cell r="C21">
            <v>610000</v>
          </cell>
          <cell r="D21">
            <v>40</v>
          </cell>
        </row>
        <row r="22">
          <cell r="A22">
            <v>6562000</v>
          </cell>
          <cell r="B22">
            <v>1857750</v>
          </cell>
          <cell r="C22">
            <v>610000</v>
          </cell>
          <cell r="D22">
            <v>42.5</v>
          </cell>
        </row>
        <row r="23">
          <cell r="A23">
            <v>7172000</v>
          </cell>
          <cell r="B23">
            <v>2117000</v>
          </cell>
          <cell r="C23">
            <v>610000</v>
          </cell>
          <cell r="D23">
            <v>45</v>
          </cell>
        </row>
        <row r="24">
          <cell r="A24">
            <v>7782000</v>
          </cell>
          <cell r="B24">
            <v>2391500</v>
          </cell>
          <cell r="C24">
            <v>610000</v>
          </cell>
          <cell r="D24">
            <v>47</v>
          </cell>
        </row>
        <row r="25">
          <cell r="A25">
            <v>8392000</v>
          </cell>
          <cell r="B25">
            <v>2678200</v>
          </cell>
          <cell r="C25">
            <v>610000</v>
          </cell>
          <cell r="D25">
            <v>49</v>
          </cell>
        </row>
        <row r="26">
          <cell r="A26">
            <v>9002000</v>
          </cell>
          <cell r="B26">
            <v>2977100</v>
          </cell>
          <cell r="C26">
            <v>610000</v>
          </cell>
          <cell r="D26">
            <v>51</v>
          </cell>
        </row>
        <row r="27">
          <cell r="A27">
            <v>9612000</v>
          </cell>
          <cell r="B27">
            <v>3288200</v>
          </cell>
          <cell r="C27">
            <v>610000</v>
          </cell>
          <cell r="D27">
            <v>53.5</v>
          </cell>
        </row>
        <row r="28">
          <cell r="A28">
            <v>10222000</v>
          </cell>
          <cell r="B28">
            <v>3614550</v>
          </cell>
          <cell r="C28" t="str">
            <v>en adelante</v>
          </cell>
          <cell r="D28">
            <v>56</v>
          </cell>
        </row>
      </sheetData>
      <sheetData sheetId="33"/>
      <sheetData sheetId="34"/>
      <sheetData sheetId="35">
        <row r="1">
          <cell r="A1" t="str">
            <v>EJERCICIO 35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58">
          <cell r="A58" t="str">
            <v>Parador</v>
          </cell>
          <cell r="B58" t="str">
            <v>Categoría</v>
          </cell>
          <cell r="C58" t="str">
            <v>Provincia</v>
          </cell>
          <cell r="D58" t="str">
            <v>Precio</v>
          </cell>
          <cell r="E58" t="str">
            <v>Promoción</v>
          </cell>
        </row>
        <row r="59">
          <cell r="A59" t="str">
            <v>Antequera</v>
          </cell>
          <cell r="B59">
            <v>3</v>
          </cell>
          <cell r="C59" t="str">
            <v>Málaga</v>
          </cell>
          <cell r="D59">
            <v>7200</v>
          </cell>
          <cell r="E59" t="str">
            <v>Sí</v>
          </cell>
        </row>
        <row r="60">
          <cell r="A60" t="str">
            <v>Arcos</v>
          </cell>
          <cell r="B60">
            <v>3</v>
          </cell>
          <cell r="C60" t="str">
            <v>Cádiz</v>
          </cell>
          <cell r="D60">
            <v>9350</v>
          </cell>
          <cell r="E60" t="str">
            <v>Sí</v>
          </cell>
        </row>
        <row r="61">
          <cell r="A61" t="str">
            <v>Ayamonte</v>
          </cell>
          <cell r="B61">
            <v>4</v>
          </cell>
          <cell r="C61" t="str">
            <v>Huelva</v>
          </cell>
          <cell r="D61">
            <v>8000</v>
          </cell>
          <cell r="E61" t="str">
            <v>No</v>
          </cell>
        </row>
        <row r="62">
          <cell r="A62" t="str">
            <v>Cádiz</v>
          </cell>
          <cell r="B62">
            <v>4</v>
          </cell>
          <cell r="C62" t="str">
            <v>Cádiz</v>
          </cell>
          <cell r="D62">
            <v>8000</v>
          </cell>
          <cell r="E62" t="str">
            <v>Sí</v>
          </cell>
        </row>
        <row r="63">
          <cell r="A63" t="str">
            <v>Carmona</v>
          </cell>
          <cell r="B63">
            <v>4</v>
          </cell>
          <cell r="C63" t="str">
            <v>Sevilla</v>
          </cell>
          <cell r="D63">
            <v>9850</v>
          </cell>
          <cell r="E63" t="str">
            <v>No</v>
          </cell>
        </row>
        <row r="64">
          <cell r="A64" t="str">
            <v>Cazorla</v>
          </cell>
          <cell r="B64">
            <v>3</v>
          </cell>
          <cell r="C64" t="str">
            <v>Jaén</v>
          </cell>
          <cell r="D64">
            <v>8000</v>
          </cell>
          <cell r="E64" t="str">
            <v>Sí</v>
          </cell>
        </row>
        <row r="65">
          <cell r="A65" t="str">
            <v>Córdoba</v>
          </cell>
          <cell r="B65">
            <v>4</v>
          </cell>
          <cell r="C65" t="str">
            <v>Córdoba</v>
          </cell>
          <cell r="D65">
            <v>8000</v>
          </cell>
          <cell r="E65" t="str">
            <v>Sí</v>
          </cell>
        </row>
        <row r="66">
          <cell r="A66" t="str">
            <v>Gibralfaro</v>
          </cell>
          <cell r="B66">
            <v>4</v>
          </cell>
          <cell r="C66" t="str">
            <v>Málaga</v>
          </cell>
          <cell r="D66">
            <v>10150</v>
          </cell>
          <cell r="E66" t="str">
            <v>No</v>
          </cell>
        </row>
        <row r="67">
          <cell r="A67" t="str">
            <v>Granada</v>
          </cell>
          <cell r="B67">
            <v>4</v>
          </cell>
          <cell r="C67" t="str">
            <v>Granada</v>
          </cell>
          <cell r="D67">
            <v>17650</v>
          </cell>
          <cell r="E67" t="str">
            <v>No</v>
          </cell>
        </row>
        <row r="68">
          <cell r="A68" t="str">
            <v>Jaén</v>
          </cell>
          <cell r="B68">
            <v>4</v>
          </cell>
          <cell r="C68" t="str">
            <v>Jaén</v>
          </cell>
          <cell r="D68">
            <v>9350</v>
          </cell>
          <cell r="E68" t="str">
            <v>Sí</v>
          </cell>
        </row>
        <row r="69">
          <cell r="A69" t="str">
            <v>Málaga</v>
          </cell>
          <cell r="B69">
            <v>4</v>
          </cell>
          <cell r="C69" t="str">
            <v>Málaga</v>
          </cell>
          <cell r="D69">
            <v>9350</v>
          </cell>
          <cell r="E69" t="str">
            <v>No</v>
          </cell>
        </row>
        <row r="70">
          <cell r="A70" t="str">
            <v>Mazagón</v>
          </cell>
          <cell r="B70">
            <v>4</v>
          </cell>
          <cell r="C70" t="str">
            <v>Huelva</v>
          </cell>
          <cell r="D70">
            <v>10150</v>
          </cell>
          <cell r="E70" t="str">
            <v>No</v>
          </cell>
        </row>
        <row r="71">
          <cell r="A71" t="str">
            <v>Mojácar</v>
          </cell>
          <cell r="B71">
            <v>4</v>
          </cell>
          <cell r="C71" t="str">
            <v>Almería</v>
          </cell>
          <cell r="D71">
            <v>8000</v>
          </cell>
          <cell r="E71" t="str">
            <v>No</v>
          </cell>
        </row>
        <row r="72">
          <cell r="A72" t="str">
            <v>Nerja</v>
          </cell>
          <cell r="B72">
            <v>4</v>
          </cell>
          <cell r="C72" t="str">
            <v>Málaga</v>
          </cell>
          <cell r="D72">
            <v>10150</v>
          </cell>
          <cell r="E72" t="str">
            <v>No</v>
          </cell>
        </row>
        <row r="73">
          <cell r="A73" t="str">
            <v>Ronda</v>
          </cell>
          <cell r="B73">
            <v>4</v>
          </cell>
          <cell r="C73" t="str">
            <v>Málaga</v>
          </cell>
          <cell r="D73">
            <v>8000</v>
          </cell>
          <cell r="E73" t="str">
            <v>Sí</v>
          </cell>
        </row>
        <row r="74">
          <cell r="A74" t="str">
            <v>Ubeda</v>
          </cell>
          <cell r="B74">
            <v>4</v>
          </cell>
          <cell r="C74" t="str">
            <v>Jaén</v>
          </cell>
          <cell r="D74">
            <v>8800</v>
          </cell>
          <cell r="E74" t="str">
            <v>Sí</v>
          </cell>
        </row>
      </sheetData>
      <sheetData sheetId="8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8"/>
  <sheetViews>
    <sheetView workbookViewId="0">
      <selection activeCell="D9" sqref="D9"/>
    </sheetView>
  </sheetViews>
  <sheetFormatPr baseColWidth="10" defaultRowHeight="14.4" x14ac:dyDescent="0.3"/>
  <cols>
    <col min="1" max="1" width="6.44140625" customWidth="1"/>
    <col min="2" max="2" width="17.33203125" customWidth="1"/>
    <col min="3" max="4" width="22.44140625" customWidth="1"/>
  </cols>
  <sheetData>
    <row r="2" spans="1:4" x14ac:dyDescent="0.3">
      <c r="A2" s="68" t="s">
        <v>33</v>
      </c>
      <c r="B2" s="68"/>
      <c r="C2" s="68"/>
      <c r="D2" s="68"/>
    </row>
    <row r="3" spans="1:4" x14ac:dyDescent="0.3">
      <c r="A3" s="68"/>
      <c r="B3" s="68"/>
      <c r="C3" s="68"/>
      <c r="D3" s="68"/>
    </row>
    <row r="4" spans="1:4" x14ac:dyDescent="0.3">
      <c r="A4" s="68"/>
      <c r="B4" s="68"/>
      <c r="C4" s="68"/>
      <c r="D4" s="68"/>
    </row>
    <row r="5" spans="1:4" x14ac:dyDescent="0.3">
      <c r="A5" s="68"/>
      <c r="B5" s="68"/>
      <c r="C5" s="68"/>
      <c r="D5" s="68"/>
    </row>
    <row r="6" spans="1:4" x14ac:dyDescent="0.3">
      <c r="A6" s="68"/>
      <c r="B6" s="68"/>
      <c r="C6" s="68"/>
      <c r="D6" s="68"/>
    </row>
    <row r="8" spans="1:4" s="1" customFormat="1" x14ac:dyDescent="0.3">
      <c r="A8" s="2" t="s">
        <v>0</v>
      </c>
      <c r="B8" s="3" t="s">
        <v>1</v>
      </c>
      <c r="C8" s="3" t="s">
        <v>2</v>
      </c>
      <c r="D8" s="4" t="s">
        <v>3</v>
      </c>
    </row>
    <row r="9" spans="1:4" ht="18.75" customHeight="1" x14ac:dyDescent="0.3">
      <c r="A9" s="5">
        <v>1</v>
      </c>
      <c r="B9" s="6" t="s">
        <v>4</v>
      </c>
      <c r="C9" s="7">
        <v>58900</v>
      </c>
      <c r="D9" s="8"/>
    </row>
    <row r="10" spans="1:4" ht="18.75" customHeight="1" x14ac:dyDescent="0.3">
      <c r="A10" s="5">
        <v>2</v>
      </c>
      <c r="B10" s="6" t="s">
        <v>5</v>
      </c>
      <c r="C10" s="7">
        <v>15000</v>
      </c>
      <c r="D10" s="8"/>
    </row>
    <row r="11" spans="1:4" ht="18.75" customHeight="1" x14ac:dyDescent="0.3">
      <c r="A11" s="5">
        <v>3</v>
      </c>
      <c r="B11" s="6" t="s">
        <v>6</v>
      </c>
      <c r="C11" s="7">
        <v>150000</v>
      </c>
      <c r="D11" s="8"/>
    </row>
    <row r="12" spans="1:4" ht="18.75" customHeight="1" x14ac:dyDescent="0.3">
      <c r="A12" s="5">
        <v>4</v>
      </c>
      <c r="B12" s="6" t="s">
        <v>7</v>
      </c>
      <c r="C12" s="7">
        <v>45000</v>
      </c>
      <c r="D12" s="8"/>
    </row>
    <row r="13" spans="1:4" ht="18.75" customHeight="1" x14ac:dyDescent="0.3">
      <c r="A13" s="5">
        <v>5</v>
      </c>
      <c r="B13" s="6" t="s">
        <v>8</v>
      </c>
      <c r="C13" s="7">
        <v>105050</v>
      </c>
      <c r="D13" s="8"/>
    </row>
    <row r="14" spans="1:4" ht="18.75" customHeight="1" x14ac:dyDescent="0.3">
      <c r="A14" s="5">
        <v>6</v>
      </c>
      <c r="B14" s="6" t="s">
        <v>9</v>
      </c>
      <c r="C14" s="7">
        <v>56000</v>
      </c>
      <c r="D14" s="8"/>
    </row>
    <row r="15" spans="1:4" ht="18.75" customHeight="1" x14ac:dyDescent="0.3">
      <c r="A15" s="5">
        <v>7</v>
      </c>
      <c r="B15" s="6" t="s">
        <v>10</v>
      </c>
      <c r="C15" s="7">
        <v>25000</v>
      </c>
      <c r="D15" s="8"/>
    </row>
    <row r="16" spans="1:4" ht="18.75" customHeight="1" x14ac:dyDescent="0.3">
      <c r="A16" s="5">
        <v>8</v>
      </c>
      <c r="B16" s="6" t="s">
        <v>11</v>
      </c>
      <c r="C16" s="7">
        <v>90000</v>
      </c>
      <c r="D16" s="8"/>
    </row>
    <row r="17" spans="1:4" ht="18.75" customHeight="1" x14ac:dyDescent="0.3">
      <c r="A17" s="5">
        <v>9</v>
      </c>
      <c r="B17" s="6" t="s">
        <v>12</v>
      </c>
      <c r="C17" s="7">
        <v>90500</v>
      </c>
      <c r="D17" s="8"/>
    </row>
    <row r="18" spans="1:4" ht="18.75" customHeight="1" x14ac:dyDescent="0.3">
      <c r="A18" s="9">
        <v>10</v>
      </c>
      <c r="B18" s="10" t="s">
        <v>13</v>
      </c>
      <c r="C18" s="11">
        <v>10000</v>
      </c>
      <c r="D18" s="12"/>
    </row>
  </sheetData>
  <mergeCells count="1">
    <mergeCell ref="A2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G4" sqref="G4"/>
    </sheetView>
  </sheetViews>
  <sheetFormatPr baseColWidth="10" defaultRowHeight="14.4" x14ac:dyDescent="0.3"/>
  <cols>
    <col min="1" max="1" width="18.109375" customWidth="1"/>
    <col min="3" max="3" width="13.5546875" customWidth="1"/>
    <col min="6" max="6" width="14.44140625" customWidth="1"/>
    <col min="9" max="9" width="14.6640625" customWidth="1"/>
  </cols>
  <sheetData>
    <row r="1" spans="1:9" ht="33.75" customHeight="1" x14ac:dyDescent="0.3">
      <c r="A1" s="13" t="s">
        <v>14</v>
      </c>
      <c r="B1" s="14" t="s">
        <v>15</v>
      </c>
      <c r="C1" s="15" t="s">
        <v>16</v>
      </c>
      <c r="F1" s="26" t="s">
        <v>29</v>
      </c>
      <c r="H1" s="18" t="s">
        <v>30</v>
      </c>
      <c r="I1" s="19" t="s">
        <v>31</v>
      </c>
    </row>
    <row r="2" spans="1:9" ht="22.5" customHeight="1" x14ac:dyDescent="0.3">
      <c r="A2" s="5" t="s">
        <v>17</v>
      </c>
      <c r="B2" s="6" t="s">
        <v>26</v>
      </c>
      <c r="C2" s="16">
        <v>2000</v>
      </c>
      <c r="F2" s="25"/>
      <c r="H2" s="20" t="s">
        <v>27</v>
      </c>
      <c r="I2" s="21"/>
    </row>
    <row r="3" spans="1:9" ht="22.5" customHeight="1" x14ac:dyDescent="0.3">
      <c r="A3" s="5" t="s">
        <v>18</v>
      </c>
      <c r="B3" s="6" t="s">
        <v>27</v>
      </c>
      <c r="C3" s="16">
        <v>3500</v>
      </c>
      <c r="H3" s="20" t="s">
        <v>28</v>
      </c>
      <c r="I3" s="21"/>
    </row>
    <row r="4" spans="1:9" ht="22.5" customHeight="1" x14ac:dyDescent="0.3">
      <c r="A4" s="5" t="s">
        <v>19</v>
      </c>
      <c r="B4" s="6" t="s">
        <v>27</v>
      </c>
      <c r="C4" s="16">
        <v>1200</v>
      </c>
      <c r="H4" s="22" t="s">
        <v>26</v>
      </c>
      <c r="I4" s="23"/>
    </row>
    <row r="5" spans="1:9" ht="22.5" customHeight="1" x14ac:dyDescent="0.3">
      <c r="A5" s="5" t="s">
        <v>20</v>
      </c>
      <c r="B5" s="6" t="s">
        <v>28</v>
      </c>
      <c r="C5" s="16">
        <v>4000</v>
      </c>
    </row>
    <row r="6" spans="1:9" ht="22.5" customHeight="1" x14ac:dyDescent="0.3">
      <c r="A6" s="5" t="s">
        <v>21</v>
      </c>
      <c r="B6" s="6" t="s">
        <v>26</v>
      </c>
      <c r="C6" s="16">
        <v>5000</v>
      </c>
    </row>
    <row r="7" spans="1:9" ht="22.5" customHeight="1" x14ac:dyDescent="0.3">
      <c r="A7" s="5" t="s">
        <v>22</v>
      </c>
      <c r="B7" s="6" t="s">
        <v>27</v>
      </c>
      <c r="C7" s="16">
        <v>600</v>
      </c>
      <c r="F7" s="24" t="s">
        <v>32</v>
      </c>
      <c r="H7" s="18" t="s">
        <v>30</v>
      </c>
      <c r="I7" s="19" t="s">
        <v>31</v>
      </c>
    </row>
    <row r="8" spans="1:9" ht="22.5" customHeight="1" x14ac:dyDescent="0.3">
      <c r="A8" s="5" t="s">
        <v>23</v>
      </c>
      <c r="B8" s="6" t="s">
        <v>26</v>
      </c>
      <c r="C8" s="16">
        <v>7000</v>
      </c>
      <c r="F8" s="25"/>
      <c r="H8" s="20" t="s">
        <v>27</v>
      </c>
      <c r="I8" s="21"/>
    </row>
    <row r="9" spans="1:9" ht="22.5" customHeight="1" x14ac:dyDescent="0.3">
      <c r="A9" s="5" t="s">
        <v>24</v>
      </c>
      <c r="B9" s="6" t="s">
        <v>27</v>
      </c>
      <c r="C9" s="16">
        <v>8000</v>
      </c>
      <c r="H9" s="20" t="s">
        <v>28</v>
      </c>
      <c r="I9" s="21"/>
    </row>
    <row r="10" spans="1:9" ht="22.5" customHeight="1" x14ac:dyDescent="0.3">
      <c r="A10" s="9" t="s">
        <v>25</v>
      </c>
      <c r="B10" s="10" t="s">
        <v>28</v>
      </c>
      <c r="C10" s="17">
        <v>90000</v>
      </c>
      <c r="H10" s="22" t="s">
        <v>26</v>
      </c>
      <c r="I10" s="23"/>
    </row>
    <row r="11" spans="1:9" ht="22.5" customHeight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2"/>
  <sheetViews>
    <sheetView tabSelected="1" topLeftCell="A30" workbookViewId="0">
      <selection activeCell="I39" sqref="I39"/>
    </sheetView>
  </sheetViews>
  <sheetFormatPr baseColWidth="10" defaultColWidth="11.44140625" defaultRowHeight="13.2" x14ac:dyDescent="0.25"/>
  <cols>
    <col min="1" max="1" width="11.44140625" style="29"/>
    <col min="2" max="2" width="24.33203125" style="28" customWidth="1"/>
    <col min="3" max="7" width="14.6640625" style="28" customWidth="1"/>
    <col min="8" max="9" width="14.6640625" style="29" customWidth="1"/>
    <col min="10" max="11" width="11.44140625" style="28"/>
    <col min="12" max="12" width="12.44140625" style="28" customWidth="1"/>
    <col min="13" max="258" width="11.44140625" style="28"/>
    <col min="259" max="259" width="42.88671875" style="28" customWidth="1"/>
    <col min="260" max="261" width="11.44140625" style="28"/>
    <col min="262" max="262" width="12.33203125" style="28" customWidth="1"/>
    <col min="263" max="267" width="11.44140625" style="28"/>
    <col min="268" max="268" width="12.44140625" style="28" customWidth="1"/>
    <col min="269" max="514" width="11.44140625" style="28"/>
    <col min="515" max="515" width="42.88671875" style="28" customWidth="1"/>
    <col min="516" max="517" width="11.44140625" style="28"/>
    <col min="518" max="518" width="12.33203125" style="28" customWidth="1"/>
    <col min="519" max="523" width="11.44140625" style="28"/>
    <col min="524" max="524" width="12.44140625" style="28" customWidth="1"/>
    <col min="525" max="770" width="11.44140625" style="28"/>
    <col min="771" max="771" width="42.88671875" style="28" customWidth="1"/>
    <col min="772" max="773" width="11.44140625" style="28"/>
    <col min="774" max="774" width="12.33203125" style="28" customWidth="1"/>
    <col min="775" max="779" width="11.44140625" style="28"/>
    <col min="780" max="780" width="12.44140625" style="28" customWidth="1"/>
    <col min="781" max="1026" width="11.44140625" style="28"/>
    <col min="1027" max="1027" width="42.88671875" style="28" customWidth="1"/>
    <col min="1028" max="1029" width="11.44140625" style="28"/>
    <col min="1030" max="1030" width="12.33203125" style="28" customWidth="1"/>
    <col min="1031" max="1035" width="11.44140625" style="28"/>
    <col min="1036" max="1036" width="12.44140625" style="28" customWidth="1"/>
    <col min="1037" max="1282" width="11.44140625" style="28"/>
    <col min="1283" max="1283" width="42.88671875" style="28" customWidth="1"/>
    <col min="1284" max="1285" width="11.44140625" style="28"/>
    <col min="1286" max="1286" width="12.33203125" style="28" customWidth="1"/>
    <col min="1287" max="1291" width="11.44140625" style="28"/>
    <col min="1292" max="1292" width="12.44140625" style="28" customWidth="1"/>
    <col min="1293" max="1538" width="11.44140625" style="28"/>
    <col min="1539" max="1539" width="42.88671875" style="28" customWidth="1"/>
    <col min="1540" max="1541" width="11.44140625" style="28"/>
    <col min="1542" max="1542" width="12.33203125" style="28" customWidth="1"/>
    <col min="1543" max="1547" width="11.44140625" style="28"/>
    <col min="1548" max="1548" width="12.44140625" style="28" customWidth="1"/>
    <col min="1549" max="1794" width="11.44140625" style="28"/>
    <col min="1795" max="1795" width="42.88671875" style="28" customWidth="1"/>
    <col min="1796" max="1797" width="11.44140625" style="28"/>
    <col min="1798" max="1798" width="12.33203125" style="28" customWidth="1"/>
    <col min="1799" max="1803" width="11.44140625" style="28"/>
    <col min="1804" max="1804" width="12.44140625" style="28" customWidth="1"/>
    <col min="1805" max="2050" width="11.44140625" style="28"/>
    <col min="2051" max="2051" width="42.88671875" style="28" customWidth="1"/>
    <col min="2052" max="2053" width="11.44140625" style="28"/>
    <col min="2054" max="2054" width="12.33203125" style="28" customWidth="1"/>
    <col min="2055" max="2059" width="11.44140625" style="28"/>
    <col min="2060" max="2060" width="12.44140625" style="28" customWidth="1"/>
    <col min="2061" max="2306" width="11.44140625" style="28"/>
    <col min="2307" max="2307" width="42.88671875" style="28" customWidth="1"/>
    <col min="2308" max="2309" width="11.44140625" style="28"/>
    <col min="2310" max="2310" width="12.33203125" style="28" customWidth="1"/>
    <col min="2311" max="2315" width="11.44140625" style="28"/>
    <col min="2316" max="2316" width="12.44140625" style="28" customWidth="1"/>
    <col min="2317" max="2562" width="11.44140625" style="28"/>
    <col min="2563" max="2563" width="42.88671875" style="28" customWidth="1"/>
    <col min="2564" max="2565" width="11.44140625" style="28"/>
    <col min="2566" max="2566" width="12.33203125" style="28" customWidth="1"/>
    <col min="2567" max="2571" width="11.44140625" style="28"/>
    <col min="2572" max="2572" width="12.44140625" style="28" customWidth="1"/>
    <col min="2573" max="2818" width="11.44140625" style="28"/>
    <col min="2819" max="2819" width="42.88671875" style="28" customWidth="1"/>
    <col min="2820" max="2821" width="11.44140625" style="28"/>
    <col min="2822" max="2822" width="12.33203125" style="28" customWidth="1"/>
    <col min="2823" max="2827" width="11.44140625" style="28"/>
    <col min="2828" max="2828" width="12.44140625" style="28" customWidth="1"/>
    <col min="2829" max="3074" width="11.44140625" style="28"/>
    <col min="3075" max="3075" width="42.88671875" style="28" customWidth="1"/>
    <col min="3076" max="3077" width="11.44140625" style="28"/>
    <col min="3078" max="3078" width="12.33203125" style="28" customWidth="1"/>
    <col min="3079" max="3083" width="11.44140625" style="28"/>
    <col min="3084" max="3084" width="12.44140625" style="28" customWidth="1"/>
    <col min="3085" max="3330" width="11.44140625" style="28"/>
    <col min="3331" max="3331" width="42.88671875" style="28" customWidth="1"/>
    <col min="3332" max="3333" width="11.44140625" style="28"/>
    <col min="3334" max="3334" width="12.33203125" style="28" customWidth="1"/>
    <col min="3335" max="3339" width="11.44140625" style="28"/>
    <col min="3340" max="3340" width="12.44140625" style="28" customWidth="1"/>
    <col min="3341" max="3586" width="11.44140625" style="28"/>
    <col min="3587" max="3587" width="42.88671875" style="28" customWidth="1"/>
    <col min="3588" max="3589" width="11.44140625" style="28"/>
    <col min="3590" max="3590" width="12.33203125" style="28" customWidth="1"/>
    <col min="3591" max="3595" width="11.44140625" style="28"/>
    <col min="3596" max="3596" width="12.44140625" style="28" customWidth="1"/>
    <col min="3597" max="3842" width="11.44140625" style="28"/>
    <col min="3843" max="3843" width="42.88671875" style="28" customWidth="1"/>
    <col min="3844" max="3845" width="11.44140625" style="28"/>
    <col min="3846" max="3846" width="12.33203125" style="28" customWidth="1"/>
    <col min="3847" max="3851" width="11.44140625" style="28"/>
    <col min="3852" max="3852" width="12.44140625" style="28" customWidth="1"/>
    <col min="3853" max="4098" width="11.44140625" style="28"/>
    <col min="4099" max="4099" width="42.88671875" style="28" customWidth="1"/>
    <col min="4100" max="4101" width="11.44140625" style="28"/>
    <col min="4102" max="4102" width="12.33203125" style="28" customWidth="1"/>
    <col min="4103" max="4107" width="11.44140625" style="28"/>
    <col min="4108" max="4108" width="12.44140625" style="28" customWidth="1"/>
    <col min="4109" max="4354" width="11.44140625" style="28"/>
    <col min="4355" max="4355" width="42.88671875" style="28" customWidth="1"/>
    <col min="4356" max="4357" width="11.44140625" style="28"/>
    <col min="4358" max="4358" width="12.33203125" style="28" customWidth="1"/>
    <col min="4359" max="4363" width="11.44140625" style="28"/>
    <col min="4364" max="4364" width="12.44140625" style="28" customWidth="1"/>
    <col min="4365" max="4610" width="11.44140625" style="28"/>
    <col min="4611" max="4611" width="42.88671875" style="28" customWidth="1"/>
    <col min="4612" max="4613" width="11.44140625" style="28"/>
    <col min="4614" max="4614" width="12.33203125" style="28" customWidth="1"/>
    <col min="4615" max="4619" width="11.44140625" style="28"/>
    <col min="4620" max="4620" width="12.44140625" style="28" customWidth="1"/>
    <col min="4621" max="4866" width="11.44140625" style="28"/>
    <col min="4867" max="4867" width="42.88671875" style="28" customWidth="1"/>
    <col min="4868" max="4869" width="11.44140625" style="28"/>
    <col min="4870" max="4870" width="12.33203125" style="28" customWidth="1"/>
    <col min="4871" max="4875" width="11.44140625" style="28"/>
    <col min="4876" max="4876" width="12.44140625" style="28" customWidth="1"/>
    <col min="4877" max="5122" width="11.44140625" style="28"/>
    <col min="5123" max="5123" width="42.88671875" style="28" customWidth="1"/>
    <col min="5124" max="5125" width="11.44140625" style="28"/>
    <col min="5126" max="5126" width="12.33203125" style="28" customWidth="1"/>
    <col min="5127" max="5131" width="11.44140625" style="28"/>
    <col min="5132" max="5132" width="12.44140625" style="28" customWidth="1"/>
    <col min="5133" max="5378" width="11.44140625" style="28"/>
    <col min="5379" max="5379" width="42.88671875" style="28" customWidth="1"/>
    <col min="5380" max="5381" width="11.44140625" style="28"/>
    <col min="5382" max="5382" width="12.33203125" style="28" customWidth="1"/>
    <col min="5383" max="5387" width="11.44140625" style="28"/>
    <col min="5388" max="5388" width="12.44140625" style="28" customWidth="1"/>
    <col min="5389" max="5634" width="11.44140625" style="28"/>
    <col min="5635" max="5635" width="42.88671875" style="28" customWidth="1"/>
    <col min="5636" max="5637" width="11.44140625" style="28"/>
    <col min="5638" max="5638" width="12.33203125" style="28" customWidth="1"/>
    <col min="5639" max="5643" width="11.44140625" style="28"/>
    <col min="5644" max="5644" width="12.44140625" style="28" customWidth="1"/>
    <col min="5645" max="5890" width="11.44140625" style="28"/>
    <col min="5891" max="5891" width="42.88671875" style="28" customWidth="1"/>
    <col min="5892" max="5893" width="11.44140625" style="28"/>
    <col min="5894" max="5894" width="12.33203125" style="28" customWidth="1"/>
    <col min="5895" max="5899" width="11.44140625" style="28"/>
    <col min="5900" max="5900" width="12.44140625" style="28" customWidth="1"/>
    <col min="5901" max="6146" width="11.44140625" style="28"/>
    <col min="6147" max="6147" width="42.88671875" style="28" customWidth="1"/>
    <col min="6148" max="6149" width="11.44140625" style="28"/>
    <col min="6150" max="6150" width="12.33203125" style="28" customWidth="1"/>
    <col min="6151" max="6155" width="11.44140625" style="28"/>
    <col min="6156" max="6156" width="12.44140625" style="28" customWidth="1"/>
    <col min="6157" max="6402" width="11.44140625" style="28"/>
    <col min="6403" max="6403" width="42.88671875" style="28" customWidth="1"/>
    <col min="6404" max="6405" width="11.44140625" style="28"/>
    <col min="6406" max="6406" width="12.33203125" style="28" customWidth="1"/>
    <col min="6407" max="6411" width="11.44140625" style="28"/>
    <col min="6412" max="6412" width="12.44140625" style="28" customWidth="1"/>
    <col min="6413" max="6658" width="11.44140625" style="28"/>
    <col min="6659" max="6659" width="42.88671875" style="28" customWidth="1"/>
    <col min="6660" max="6661" width="11.44140625" style="28"/>
    <col min="6662" max="6662" width="12.33203125" style="28" customWidth="1"/>
    <col min="6663" max="6667" width="11.44140625" style="28"/>
    <col min="6668" max="6668" width="12.44140625" style="28" customWidth="1"/>
    <col min="6669" max="6914" width="11.44140625" style="28"/>
    <col min="6915" max="6915" width="42.88671875" style="28" customWidth="1"/>
    <col min="6916" max="6917" width="11.44140625" style="28"/>
    <col min="6918" max="6918" width="12.33203125" style="28" customWidth="1"/>
    <col min="6919" max="6923" width="11.44140625" style="28"/>
    <col min="6924" max="6924" width="12.44140625" style="28" customWidth="1"/>
    <col min="6925" max="7170" width="11.44140625" style="28"/>
    <col min="7171" max="7171" width="42.88671875" style="28" customWidth="1"/>
    <col min="7172" max="7173" width="11.44140625" style="28"/>
    <col min="7174" max="7174" width="12.33203125" style="28" customWidth="1"/>
    <col min="7175" max="7179" width="11.44140625" style="28"/>
    <col min="7180" max="7180" width="12.44140625" style="28" customWidth="1"/>
    <col min="7181" max="7426" width="11.44140625" style="28"/>
    <col min="7427" max="7427" width="42.88671875" style="28" customWidth="1"/>
    <col min="7428" max="7429" width="11.44140625" style="28"/>
    <col min="7430" max="7430" width="12.33203125" style="28" customWidth="1"/>
    <col min="7431" max="7435" width="11.44140625" style="28"/>
    <col min="7436" max="7436" width="12.44140625" style="28" customWidth="1"/>
    <col min="7437" max="7682" width="11.44140625" style="28"/>
    <col min="7683" max="7683" width="42.88671875" style="28" customWidth="1"/>
    <col min="7684" max="7685" width="11.44140625" style="28"/>
    <col min="7686" max="7686" width="12.33203125" style="28" customWidth="1"/>
    <col min="7687" max="7691" width="11.44140625" style="28"/>
    <col min="7692" max="7692" width="12.44140625" style="28" customWidth="1"/>
    <col min="7693" max="7938" width="11.44140625" style="28"/>
    <col min="7939" max="7939" width="42.88671875" style="28" customWidth="1"/>
    <col min="7940" max="7941" width="11.44140625" style="28"/>
    <col min="7942" max="7942" width="12.33203125" style="28" customWidth="1"/>
    <col min="7943" max="7947" width="11.44140625" style="28"/>
    <col min="7948" max="7948" width="12.44140625" style="28" customWidth="1"/>
    <col min="7949" max="8194" width="11.44140625" style="28"/>
    <col min="8195" max="8195" width="42.88671875" style="28" customWidth="1"/>
    <col min="8196" max="8197" width="11.44140625" style="28"/>
    <col min="8198" max="8198" width="12.33203125" style="28" customWidth="1"/>
    <col min="8199" max="8203" width="11.44140625" style="28"/>
    <col min="8204" max="8204" width="12.44140625" style="28" customWidth="1"/>
    <col min="8205" max="8450" width="11.44140625" style="28"/>
    <col min="8451" max="8451" width="42.88671875" style="28" customWidth="1"/>
    <col min="8452" max="8453" width="11.44140625" style="28"/>
    <col min="8454" max="8454" width="12.33203125" style="28" customWidth="1"/>
    <col min="8455" max="8459" width="11.44140625" style="28"/>
    <col min="8460" max="8460" width="12.44140625" style="28" customWidth="1"/>
    <col min="8461" max="8706" width="11.44140625" style="28"/>
    <col min="8707" max="8707" width="42.88671875" style="28" customWidth="1"/>
    <col min="8708" max="8709" width="11.44140625" style="28"/>
    <col min="8710" max="8710" width="12.33203125" style="28" customWidth="1"/>
    <col min="8711" max="8715" width="11.44140625" style="28"/>
    <col min="8716" max="8716" width="12.44140625" style="28" customWidth="1"/>
    <col min="8717" max="8962" width="11.44140625" style="28"/>
    <col min="8963" max="8963" width="42.88671875" style="28" customWidth="1"/>
    <col min="8964" max="8965" width="11.44140625" style="28"/>
    <col min="8966" max="8966" width="12.33203125" style="28" customWidth="1"/>
    <col min="8967" max="8971" width="11.44140625" style="28"/>
    <col min="8972" max="8972" width="12.44140625" style="28" customWidth="1"/>
    <col min="8973" max="9218" width="11.44140625" style="28"/>
    <col min="9219" max="9219" width="42.88671875" style="28" customWidth="1"/>
    <col min="9220" max="9221" width="11.44140625" style="28"/>
    <col min="9222" max="9222" width="12.33203125" style="28" customWidth="1"/>
    <col min="9223" max="9227" width="11.44140625" style="28"/>
    <col min="9228" max="9228" width="12.44140625" style="28" customWidth="1"/>
    <col min="9229" max="9474" width="11.44140625" style="28"/>
    <col min="9475" max="9475" width="42.88671875" style="28" customWidth="1"/>
    <col min="9476" max="9477" width="11.44140625" style="28"/>
    <col min="9478" max="9478" width="12.33203125" style="28" customWidth="1"/>
    <col min="9479" max="9483" width="11.44140625" style="28"/>
    <col min="9484" max="9484" width="12.44140625" style="28" customWidth="1"/>
    <col min="9485" max="9730" width="11.44140625" style="28"/>
    <col min="9731" max="9731" width="42.88671875" style="28" customWidth="1"/>
    <col min="9732" max="9733" width="11.44140625" style="28"/>
    <col min="9734" max="9734" width="12.33203125" style="28" customWidth="1"/>
    <col min="9735" max="9739" width="11.44140625" style="28"/>
    <col min="9740" max="9740" width="12.44140625" style="28" customWidth="1"/>
    <col min="9741" max="9986" width="11.44140625" style="28"/>
    <col min="9987" max="9987" width="42.88671875" style="28" customWidth="1"/>
    <col min="9988" max="9989" width="11.44140625" style="28"/>
    <col min="9990" max="9990" width="12.33203125" style="28" customWidth="1"/>
    <col min="9991" max="9995" width="11.44140625" style="28"/>
    <col min="9996" max="9996" width="12.44140625" style="28" customWidth="1"/>
    <col min="9997" max="10242" width="11.44140625" style="28"/>
    <col min="10243" max="10243" width="42.88671875" style="28" customWidth="1"/>
    <col min="10244" max="10245" width="11.44140625" style="28"/>
    <col min="10246" max="10246" width="12.33203125" style="28" customWidth="1"/>
    <col min="10247" max="10251" width="11.44140625" style="28"/>
    <col min="10252" max="10252" width="12.44140625" style="28" customWidth="1"/>
    <col min="10253" max="10498" width="11.44140625" style="28"/>
    <col min="10499" max="10499" width="42.88671875" style="28" customWidth="1"/>
    <col min="10500" max="10501" width="11.44140625" style="28"/>
    <col min="10502" max="10502" width="12.33203125" style="28" customWidth="1"/>
    <col min="10503" max="10507" width="11.44140625" style="28"/>
    <col min="10508" max="10508" width="12.44140625" style="28" customWidth="1"/>
    <col min="10509" max="10754" width="11.44140625" style="28"/>
    <col min="10755" max="10755" width="42.88671875" style="28" customWidth="1"/>
    <col min="10756" max="10757" width="11.44140625" style="28"/>
    <col min="10758" max="10758" width="12.33203125" style="28" customWidth="1"/>
    <col min="10759" max="10763" width="11.44140625" style="28"/>
    <col min="10764" max="10764" width="12.44140625" style="28" customWidth="1"/>
    <col min="10765" max="11010" width="11.44140625" style="28"/>
    <col min="11011" max="11011" width="42.88671875" style="28" customWidth="1"/>
    <col min="11012" max="11013" width="11.44140625" style="28"/>
    <col min="11014" max="11014" width="12.33203125" style="28" customWidth="1"/>
    <col min="11015" max="11019" width="11.44140625" style="28"/>
    <col min="11020" max="11020" width="12.44140625" style="28" customWidth="1"/>
    <col min="11021" max="11266" width="11.44140625" style="28"/>
    <col min="11267" max="11267" width="42.88671875" style="28" customWidth="1"/>
    <col min="11268" max="11269" width="11.44140625" style="28"/>
    <col min="11270" max="11270" width="12.33203125" style="28" customWidth="1"/>
    <col min="11271" max="11275" width="11.44140625" style="28"/>
    <col min="11276" max="11276" width="12.44140625" style="28" customWidth="1"/>
    <col min="11277" max="11522" width="11.44140625" style="28"/>
    <col min="11523" max="11523" width="42.88671875" style="28" customWidth="1"/>
    <col min="11524" max="11525" width="11.44140625" style="28"/>
    <col min="11526" max="11526" width="12.33203125" style="28" customWidth="1"/>
    <col min="11527" max="11531" width="11.44140625" style="28"/>
    <col min="11532" max="11532" width="12.44140625" style="28" customWidth="1"/>
    <col min="11533" max="11778" width="11.44140625" style="28"/>
    <col min="11779" max="11779" width="42.88671875" style="28" customWidth="1"/>
    <col min="11780" max="11781" width="11.44140625" style="28"/>
    <col min="11782" max="11782" width="12.33203125" style="28" customWidth="1"/>
    <col min="11783" max="11787" width="11.44140625" style="28"/>
    <col min="11788" max="11788" width="12.44140625" style="28" customWidth="1"/>
    <col min="11789" max="12034" width="11.44140625" style="28"/>
    <col min="12035" max="12035" width="42.88671875" style="28" customWidth="1"/>
    <col min="12036" max="12037" width="11.44140625" style="28"/>
    <col min="12038" max="12038" width="12.33203125" style="28" customWidth="1"/>
    <col min="12039" max="12043" width="11.44140625" style="28"/>
    <col min="12044" max="12044" width="12.44140625" style="28" customWidth="1"/>
    <col min="12045" max="12290" width="11.44140625" style="28"/>
    <col min="12291" max="12291" width="42.88671875" style="28" customWidth="1"/>
    <col min="12292" max="12293" width="11.44140625" style="28"/>
    <col min="12294" max="12294" width="12.33203125" style="28" customWidth="1"/>
    <col min="12295" max="12299" width="11.44140625" style="28"/>
    <col min="12300" max="12300" width="12.44140625" style="28" customWidth="1"/>
    <col min="12301" max="12546" width="11.44140625" style="28"/>
    <col min="12547" max="12547" width="42.88671875" style="28" customWidth="1"/>
    <col min="12548" max="12549" width="11.44140625" style="28"/>
    <col min="12550" max="12550" width="12.33203125" style="28" customWidth="1"/>
    <col min="12551" max="12555" width="11.44140625" style="28"/>
    <col min="12556" max="12556" width="12.44140625" style="28" customWidth="1"/>
    <col min="12557" max="12802" width="11.44140625" style="28"/>
    <col min="12803" max="12803" width="42.88671875" style="28" customWidth="1"/>
    <col min="12804" max="12805" width="11.44140625" style="28"/>
    <col min="12806" max="12806" width="12.33203125" style="28" customWidth="1"/>
    <col min="12807" max="12811" width="11.44140625" style="28"/>
    <col min="12812" max="12812" width="12.44140625" style="28" customWidth="1"/>
    <col min="12813" max="13058" width="11.44140625" style="28"/>
    <col min="13059" max="13059" width="42.88671875" style="28" customWidth="1"/>
    <col min="13060" max="13061" width="11.44140625" style="28"/>
    <col min="13062" max="13062" width="12.33203125" style="28" customWidth="1"/>
    <col min="13063" max="13067" width="11.44140625" style="28"/>
    <col min="13068" max="13068" width="12.44140625" style="28" customWidth="1"/>
    <col min="13069" max="13314" width="11.44140625" style="28"/>
    <col min="13315" max="13315" width="42.88671875" style="28" customWidth="1"/>
    <col min="13316" max="13317" width="11.44140625" style="28"/>
    <col min="13318" max="13318" width="12.33203125" style="28" customWidth="1"/>
    <col min="13319" max="13323" width="11.44140625" style="28"/>
    <col min="13324" max="13324" width="12.44140625" style="28" customWidth="1"/>
    <col min="13325" max="13570" width="11.44140625" style="28"/>
    <col min="13571" max="13571" width="42.88671875" style="28" customWidth="1"/>
    <col min="13572" max="13573" width="11.44140625" style="28"/>
    <col min="13574" max="13574" width="12.33203125" style="28" customWidth="1"/>
    <col min="13575" max="13579" width="11.44140625" style="28"/>
    <col min="13580" max="13580" width="12.44140625" style="28" customWidth="1"/>
    <col min="13581" max="13826" width="11.44140625" style="28"/>
    <col min="13827" max="13827" width="42.88671875" style="28" customWidth="1"/>
    <col min="13828" max="13829" width="11.44140625" style="28"/>
    <col min="13830" max="13830" width="12.33203125" style="28" customWidth="1"/>
    <col min="13831" max="13835" width="11.44140625" style="28"/>
    <col min="13836" max="13836" width="12.44140625" style="28" customWidth="1"/>
    <col min="13837" max="14082" width="11.44140625" style="28"/>
    <col min="14083" max="14083" width="42.88671875" style="28" customWidth="1"/>
    <col min="14084" max="14085" width="11.44140625" style="28"/>
    <col min="14086" max="14086" width="12.33203125" style="28" customWidth="1"/>
    <col min="14087" max="14091" width="11.44140625" style="28"/>
    <col min="14092" max="14092" width="12.44140625" style="28" customWidth="1"/>
    <col min="14093" max="14338" width="11.44140625" style="28"/>
    <col min="14339" max="14339" width="42.88671875" style="28" customWidth="1"/>
    <col min="14340" max="14341" width="11.44140625" style="28"/>
    <col min="14342" max="14342" width="12.33203125" style="28" customWidth="1"/>
    <col min="14343" max="14347" width="11.44140625" style="28"/>
    <col min="14348" max="14348" width="12.44140625" style="28" customWidth="1"/>
    <col min="14349" max="14594" width="11.44140625" style="28"/>
    <col min="14595" max="14595" width="42.88671875" style="28" customWidth="1"/>
    <col min="14596" max="14597" width="11.44140625" style="28"/>
    <col min="14598" max="14598" width="12.33203125" style="28" customWidth="1"/>
    <col min="14599" max="14603" width="11.44140625" style="28"/>
    <col min="14604" max="14604" width="12.44140625" style="28" customWidth="1"/>
    <col min="14605" max="14850" width="11.44140625" style="28"/>
    <col min="14851" max="14851" width="42.88671875" style="28" customWidth="1"/>
    <col min="14852" max="14853" width="11.44140625" style="28"/>
    <col min="14854" max="14854" width="12.33203125" style="28" customWidth="1"/>
    <col min="14855" max="14859" width="11.44140625" style="28"/>
    <col min="14860" max="14860" width="12.44140625" style="28" customWidth="1"/>
    <col min="14861" max="15106" width="11.44140625" style="28"/>
    <col min="15107" max="15107" width="42.88671875" style="28" customWidth="1"/>
    <col min="15108" max="15109" width="11.44140625" style="28"/>
    <col min="15110" max="15110" width="12.33203125" style="28" customWidth="1"/>
    <col min="15111" max="15115" width="11.44140625" style="28"/>
    <col min="15116" max="15116" width="12.44140625" style="28" customWidth="1"/>
    <col min="15117" max="15362" width="11.44140625" style="28"/>
    <col min="15363" max="15363" width="42.88671875" style="28" customWidth="1"/>
    <col min="15364" max="15365" width="11.44140625" style="28"/>
    <col min="15366" max="15366" width="12.33203125" style="28" customWidth="1"/>
    <col min="15367" max="15371" width="11.44140625" style="28"/>
    <col min="15372" max="15372" width="12.44140625" style="28" customWidth="1"/>
    <col min="15373" max="15618" width="11.44140625" style="28"/>
    <col min="15619" max="15619" width="42.88671875" style="28" customWidth="1"/>
    <col min="15620" max="15621" width="11.44140625" style="28"/>
    <col min="15622" max="15622" width="12.33203125" style="28" customWidth="1"/>
    <col min="15623" max="15627" width="11.44140625" style="28"/>
    <col min="15628" max="15628" width="12.44140625" style="28" customWidth="1"/>
    <col min="15629" max="15874" width="11.44140625" style="28"/>
    <col min="15875" max="15875" width="42.88671875" style="28" customWidth="1"/>
    <col min="15876" max="15877" width="11.44140625" style="28"/>
    <col min="15878" max="15878" width="12.33203125" style="28" customWidth="1"/>
    <col min="15879" max="15883" width="11.44140625" style="28"/>
    <col min="15884" max="15884" width="12.44140625" style="28" customWidth="1"/>
    <col min="15885" max="16130" width="11.44140625" style="28"/>
    <col min="16131" max="16131" width="42.88671875" style="28" customWidth="1"/>
    <col min="16132" max="16133" width="11.44140625" style="28"/>
    <col min="16134" max="16134" width="12.33203125" style="28" customWidth="1"/>
    <col min="16135" max="16139" width="11.44140625" style="28"/>
    <col min="16140" max="16140" width="12.44140625" style="28" customWidth="1"/>
    <col min="16141" max="16384" width="11.44140625" style="28"/>
  </cols>
  <sheetData>
    <row r="1" spans="1:10" ht="15" customHeight="1" x14ac:dyDescent="0.25">
      <c r="A1" s="72" t="s">
        <v>34</v>
      </c>
      <c r="B1" s="72"/>
      <c r="C1" s="72"/>
      <c r="D1" s="72"/>
      <c r="E1" s="72"/>
      <c r="F1" s="72"/>
      <c r="G1" s="72"/>
      <c r="H1" s="72"/>
      <c r="I1" s="27"/>
    </row>
    <row r="2" spans="1:10" ht="15" customHeight="1" x14ac:dyDescent="0.25">
      <c r="A2" s="72" t="s">
        <v>35</v>
      </c>
      <c r="B2" s="72"/>
      <c r="C2" s="72"/>
      <c r="D2" s="72"/>
      <c r="E2" s="72"/>
      <c r="F2" s="72"/>
      <c r="G2" s="72"/>
      <c r="H2" s="72"/>
      <c r="I2" s="27"/>
    </row>
    <row r="3" spans="1:10" ht="13.5" customHeight="1" x14ac:dyDescent="0.25">
      <c r="B3" s="30"/>
    </row>
    <row r="4" spans="1:10" ht="22.5" customHeight="1" x14ac:dyDescent="0.25">
      <c r="A4" s="31"/>
      <c r="B4" s="32"/>
      <c r="C4" s="73" t="s">
        <v>38</v>
      </c>
      <c r="D4" s="74"/>
      <c r="E4" s="74"/>
      <c r="F4" s="74"/>
      <c r="G4" s="75"/>
      <c r="H4" s="33"/>
      <c r="I4" s="33"/>
    </row>
    <row r="5" spans="1:10" ht="18.75" customHeight="1" x14ac:dyDescent="0.25">
      <c r="A5" s="34"/>
      <c r="B5" s="35"/>
      <c r="C5" s="67"/>
      <c r="D5" s="76" t="s">
        <v>40</v>
      </c>
      <c r="E5" s="77"/>
      <c r="F5" s="76" t="s">
        <v>41</v>
      </c>
      <c r="G5" s="77"/>
      <c r="H5" s="36"/>
      <c r="I5" s="36"/>
    </row>
    <row r="6" spans="1:10" ht="24" x14ac:dyDescent="0.25">
      <c r="A6" s="37" t="s">
        <v>36</v>
      </c>
      <c r="B6" s="38" t="s">
        <v>37</v>
      </c>
      <c r="C6" s="39" t="s">
        <v>42</v>
      </c>
      <c r="D6" s="40" t="s">
        <v>43</v>
      </c>
      <c r="E6" s="39" t="s">
        <v>44</v>
      </c>
      <c r="F6" s="40" t="s">
        <v>45</v>
      </c>
      <c r="G6" s="39" t="s">
        <v>46</v>
      </c>
      <c r="H6" s="41" t="s">
        <v>39</v>
      </c>
      <c r="I6" s="41" t="s">
        <v>97</v>
      </c>
    </row>
    <row r="7" spans="1:10" ht="18" customHeight="1" x14ac:dyDescent="0.25">
      <c r="A7" s="42" t="s">
        <v>47</v>
      </c>
      <c r="B7" s="43" t="s">
        <v>48</v>
      </c>
      <c r="C7" s="44"/>
      <c r="D7" s="44">
        <v>3807934</v>
      </c>
      <c r="E7" s="45"/>
      <c r="F7" s="44">
        <v>271184</v>
      </c>
      <c r="G7" s="45"/>
      <c r="H7" s="46">
        <v>1</v>
      </c>
      <c r="I7" s="46"/>
      <c r="J7" s="47"/>
    </row>
    <row r="8" spans="1:10" ht="18" customHeight="1" x14ac:dyDescent="0.25">
      <c r="A8" s="48" t="s">
        <v>49</v>
      </c>
      <c r="B8" s="49" t="s">
        <v>50</v>
      </c>
      <c r="C8" s="50"/>
      <c r="D8" s="50">
        <v>46015</v>
      </c>
      <c r="E8" s="51"/>
      <c r="F8" s="50">
        <v>25165</v>
      </c>
      <c r="G8" s="51"/>
      <c r="H8" s="52">
        <v>3</v>
      </c>
      <c r="I8" s="52"/>
    </row>
    <row r="9" spans="1:10" ht="18" customHeight="1" x14ac:dyDescent="0.25">
      <c r="A9" s="48" t="s">
        <v>51</v>
      </c>
      <c r="B9" s="49" t="s">
        <v>52</v>
      </c>
      <c r="C9" s="50"/>
      <c r="D9" s="50">
        <v>148206</v>
      </c>
      <c r="E9" s="51"/>
      <c r="F9" s="50">
        <v>63197</v>
      </c>
      <c r="G9" s="51"/>
      <c r="H9" s="52">
        <v>2</v>
      </c>
      <c r="I9" s="52"/>
    </row>
    <row r="10" spans="1:10" ht="18" customHeight="1" x14ac:dyDescent="0.25">
      <c r="A10" s="48" t="s">
        <v>53</v>
      </c>
      <c r="B10" s="49" t="s">
        <v>54</v>
      </c>
      <c r="C10" s="50"/>
      <c r="D10" s="50">
        <v>92663</v>
      </c>
      <c r="E10" s="51"/>
      <c r="F10" s="50">
        <v>17522</v>
      </c>
      <c r="G10" s="51"/>
      <c r="H10" s="52">
        <v>4</v>
      </c>
      <c r="I10" s="52"/>
    </row>
    <row r="11" spans="1:10" ht="18" customHeight="1" x14ac:dyDescent="0.25">
      <c r="A11" s="48" t="s">
        <v>55</v>
      </c>
      <c r="B11" s="49" t="s">
        <v>56</v>
      </c>
      <c r="C11" s="50"/>
      <c r="D11" s="50">
        <v>1197788</v>
      </c>
      <c r="E11" s="51"/>
      <c r="F11" s="53">
        <v>0</v>
      </c>
      <c r="G11" s="51"/>
      <c r="H11" s="52">
        <v>1</v>
      </c>
      <c r="I11" s="52"/>
    </row>
    <row r="12" spans="1:10" ht="18" customHeight="1" x14ac:dyDescent="0.25">
      <c r="A12" s="48" t="s">
        <v>57</v>
      </c>
      <c r="B12" s="49" t="s">
        <v>58</v>
      </c>
      <c r="C12" s="50"/>
      <c r="D12" s="50">
        <v>731493</v>
      </c>
      <c r="E12" s="51"/>
      <c r="F12" s="50">
        <v>139835</v>
      </c>
      <c r="G12" s="51"/>
      <c r="H12" s="52">
        <v>1</v>
      </c>
      <c r="I12" s="52"/>
    </row>
    <row r="13" spans="1:10" ht="18" customHeight="1" x14ac:dyDescent="0.25">
      <c r="A13" s="48" t="s">
        <v>59</v>
      </c>
      <c r="B13" s="49" t="s">
        <v>60</v>
      </c>
      <c r="C13" s="50"/>
      <c r="D13" s="50">
        <v>149365</v>
      </c>
      <c r="E13" s="51"/>
      <c r="F13" s="50">
        <v>51455</v>
      </c>
      <c r="G13" s="51"/>
      <c r="H13" s="52">
        <v>5</v>
      </c>
      <c r="I13" s="52"/>
    </row>
    <row r="14" spans="1:10" ht="18" customHeight="1" x14ac:dyDescent="0.25">
      <c r="A14" s="48" t="s">
        <v>61</v>
      </c>
      <c r="B14" s="49" t="s">
        <v>62</v>
      </c>
      <c r="C14" s="50"/>
      <c r="D14" s="50">
        <v>224053</v>
      </c>
      <c r="E14" s="51"/>
      <c r="F14" s="50">
        <v>72132</v>
      </c>
      <c r="G14" s="51"/>
      <c r="H14" s="52">
        <v>5</v>
      </c>
      <c r="I14" s="52"/>
    </row>
    <row r="15" spans="1:10" ht="18" customHeight="1" x14ac:dyDescent="0.25">
      <c r="A15" s="48" t="s">
        <v>63</v>
      </c>
      <c r="B15" s="49" t="s">
        <v>64</v>
      </c>
      <c r="C15" s="50"/>
      <c r="D15" s="50">
        <v>67644</v>
      </c>
      <c r="E15" s="51"/>
      <c r="F15" s="50">
        <v>31585</v>
      </c>
      <c r="G15" s="51"/>
      <c r="H15" s="52">
        <v>2</v>
      </c>
      <c r="I15" s="52"/>
    </row>
    <row r="16" spans="1:10" ht="18" customHeight="1" x14ac:dyDescent="0.25">
      <c r="A16" s="48" t="s">
        <v>65</v>
      </c>
      <c r="B16" s="49" t="s">
        <v>66</v>
      </c>
      <c r="C16" s="50"/>
      <c r="D16" s="50">
        <v>96315</v>
      </c>
      <c r="E16" s="51"/>
      <c r="F16" s="50">
        <v>30729</v>
      </c>
      <c r="G16" s="51"/>
      <c r="H16" s="52">
        <v>3</v>
      </c>
      <c r="I16" s="52"/>
    </row>
    <row r="17" spans="1:9" ht="18" customHeight="1" x14ac:dyDescent="0.25">
      <c r="A17" s="48" t="s">
        <v>67</v>
      </c>
      <c r="B17" s="49" t="s">
        <v>68</v>
      </c>
      <c r="C17" s="50"/>
      <c r="D17" s="50">
        <v>62566</v>
      </c>
      <c r="E17" s="51"/>
      <c r="F17" s="50">
        <v>27433</v>
      </c>
      <c r="G17" s="51"/>
      <c r="H17" s="52">
        <v>2</v>
      </c>
      <c r="I17" s="52"/>
    </row>
    <row r="18" spans="1:9" ht="18" customHeight="1" x14ac:dyDescent="0.25">
      <c r="A18" s="48" t="s">
        <v>69</v>
      </c>
      <c r="B18" s="49" t="s">
        <v>70</v>
      </c>
      <c r="C18" s="50"/>
      <c r="D18" s="50">
        <v>40867</v>
      </c>
      <c r="E18" s="51"/>
      <c r="F18" s="50">
        <v>15422</v>
      </c>
      <c r="G18" s="51"/>
      <c r="H18" s="52">
        <v>3</v>
      </c>
      <c r="I18" s="52"/>
    </row>
    <row r="19" spans="1:9" ht="18" customHeight="1" x14ac:dyDescent="0.25">
      <c r="A19" s="48" t="s">
        <v>71</v>
      </c>
      <c r="B19" s="49" t="s">
        <v>72</v>
      </c>
      <c r="C19" s="50"/>
      <c r="D19" s="50">
        <v>295653</v>
      </c>
      <c r="E19" s="51"/>
      <c r="F19" s="50">
        <v>86053</v>
      </c>
      <c r="G19" s="51"/>
      <c r="H19" s="52">
        <v>3</v>
      </c>
      <c r="I19" s="52"/>
    </row>
    <row r="20" spans="1:9" ht="18" customHeight="1" x14ac:dyDescent="0.25">
      <c r="A20" s="48" t="s">
        <v>73</v>
      </c>
      <c r="B20" s="49" t="s">
        <v>74</v>
      </c>
      <c r="C20" s="50"/>
      <c r="D20" s="50">
        <v>130384</v>
      </c>
      <c r="E20" s="51"/>
      <c r="F20" s="50">
        <v>72926</v>
      </c>
      <c r="G20" s="51"/>
      <c r="H20" s="52">
        <v>5</v>
      </c>
      <c r="I20" s="52"/>
    </row>
    <row r="21" spans="1:9" ht="18" customHeight="1" x14ac:dyDescent="0.25">
      <c r="A21" s="48" t="s">
        <v>75</v>
      </c>
      <c r="B21" s="49" t="s">
        <v>76</v>
      </c>
      <c r="C21" s="50"/>
      <c r="D21" s="50">
        <v>93456</v>
      </c>
      <c r="E21" s="51"/>
      <c r="F21" s="50">
        <v>16533</v>
      </c>
      <c r="G21" s="51"/>
      <c r="H21" s="52">
        <v>4</v>
      </c>
      <c r="I21" s="52"/>
    </row>
    <row r="22" spans="1:9" ht="18" customHeight="1" x14ac:dyDescent="0.25">
      <c r="A22" s="48" t="s">
        <v>77</v>
      </c>
      <c r="B22" s="49" t="s">
        <v>78</v>
      </c>
      <c r="C22" s="50"/>
      <c r="D22" s="50">
        <v>119202</v>
      </c>
      <c r="E22" s="51"/>
      <c r="F22" s="50">
        <v>36431</v>
      </c>
      <c r="G22" s="51"/>
      <c r="H22" s="52">
        <v>4</v>
      </c>
      <c r="I22" s="52"/>
    </row>
    <row r="23" spans="1:9" ht="18" customHeight="1" x14ac:dyDescent="0.25">
      <c r="A23" s="48" t="s">
        <v>79</v>
      </c>
      <c r="B23" s="49" t="s">
        <v>80</v>
      </c>
      <c r="C23" s="50"/>
      <c r="D23" s="50">
        <v>152672</v>
      </c>
      <c r="E23" s="51"/>
      <c r="F23" s="50">
        <v>49509</v>
      </c>
      <c r="G23" s="51"/>
      <c r="H23" s="52">
        <v>3</v>
      </c>
      <c r="I23" s="52"/>
    </row>
    <row r="24" spans="1:9" ht="18" customHeight="1" x14ac:dyDescent="0.25">
      <c r="A24" s="48" t="s">
        <v>81</v>
      </c>
      <c r="B24" s="49" t="s">
        <v>82</v>
      </c>
      <c r="C24" s="50"/>
      <c r="D24" s="50">
        <v>103969</v>
      </c>
      <c r="E24" s="51"/>
      <c r="F24" s="50">
        <v>26805</v>
      </c>
      <c r="G24" s="51"/>
      <c r="H24" s="52">
        <v>2</v>
      </c>
      <c r="I24" s="52"/>
    </row>
    <row r="25" spans="1:9" ht="18" customHeight="1" x14ac:dyDescent="0.25">
      <c r="A25" s="48" t="s">
        <v>83</v>
      </c>
      <c r="B25" s="49" t="s">
        <v>84</v>
      </c>
      <c r="C25" s="50"/>
      <c r="D25" s="50">
        <v>62651</v>
      </c>
      <c r="E25" s="51"/>
      <c r="F25" s="50">
        <v>19813</v>
      </c>
      <c r="G25" s="51"/>
      <c r="H25" s="52">
        <v>2</v>
      </c>
      <c r="I25" s="52"/>
    </row>
    <row r="26" spans="1:9" ht="18" customHeight="1" x14ac:dyDescent="0.25">
      <c r="A26" s="48" t="s">
        <v>85</v>
      </c>
      <c r="B26" s="49" t="s">
        <v>86</v>
      </c>
      <c r="C26" s="50"/>
      <c r="D26" s="50">
        <v>42524</v>
      </c>
      <c r="E26" s="51"/>
      <c r="F26" s="50">
        <v>5202</v>
      </c>
      <c r="G26" s="51"/>
      <c r="H26" s="52">
        <v>4</v>
      </c>
      <c r="I26" s="52"/>
    </row>
    <row r="27" spans="1:9" ht="18" customHeight="1" x14ac:dyDescent="0.25">
      <c r="A27" s="48" t="s">
        <v>87</v>
      </c>
      <c r="B27" s="49" t="s">
        <v>88</v>
      </c>
      <c r="C27" s="50"/>
      <c r="D27" s="50">
        <v>764924</v>
      </c>
      <c r="E27" s="51"/>
      <c r="F27" s="50">
        <v>127612</v>
      </c>
      <c r="G27" s="51"/>
      <c r="H27" s="52">
        <v>1</v>
      </c>
      <c r="I27" s="52"/>
    </row>
    <row r="28" spans="1:9" ht="18" customHeight="1" x14ac:dyDescent="0.25">
      <c r="A28" s="48" t="s">
        <v>89</v>
      </c>
      <c r="B28" s="49" t="s">
        <v>90</v>
      </c>
      <c r="C28" s="50"/>
      <c r="D28" s="50">
        <v>100947</v>
      </c>
      <c r="E28" s="51"/>
      <c r="F28" s="50">
        <v>64614</v>
      </c>
      <c r="G28" s="51"/>
      <c r="H28" s="52">
        <v>3</v>
      </c>
      <c r="I28" s="52"/>
    </row>
    <row r="29" spans="1:9" ht="18" customHeight="1" x14ac:dyDescent="0.25">
      <c r="A29" s="48" t="s">
        <v>91</v>
      </c>
      <c r="B29" s="49" t="s">
        <v>92</v>
      </c>
      <c r="C29" s="50"/>
      <c r="D29" s="50">
        <v>22717</v>
      </c>
      <c r="E29" s="51"/>
      <c r="F29" s="50">
        <v>922</v>
      </c>
      <c r="G29" s="51"/>
      <c r="H29" s="52">
        <v>4</v>
      </c>
      <c r="I29" s="52"/>
    </row>
    <row r="30" spans="1:9" ht="18" customHeight="1" x14ac:dyDescent="0.25">
      <c r="A30" s="54" t="s">
        <v>93</v>
      </c>
      <c r="B30" s="55" t="s">
        <v>94</v>
      </c>
      <c r="C30" s="56"/>
      <c r="D30" s="56">
        <v>206239</v>
      </c>
      <c r="E30" s="57"/>
      <c r="F30" s="56">
        <v>67520</v>
      </c>
      <c r="G30" s="57"/>
      <c r="H30" s="58">
        <v>2</v>
      </c>
      <c r="I30" s="58"/>
    </row>
    <row r="31" spans="1:9" x14ac:dyDescent="0.25">
      <c r="E31" s="59"/>
      <c r="G31" s="59"/>
    </row>
    <row r="32" spans="1:9" x14ac:dyDescent="0.25">
      <c r="B32" s="69" t="s">
        <v>95</v>
      </c>
      <c r="C32" s="69"/>
      <c r="D32" s="69"/>
      <c r="E32" s="69"/>
      <c r="F32" s="69"/>
      <c r="G32" s="69"/>
      <c r="H32" s="69"/>
      <c r="I32" s="60"/>
    </row>
    <row r="33" spans="2:12" x14ac:dyDescent="0.25">
      <c r="E33" s="59"/>
      <c r="G33" s="59"/>
    </row>
    <row r="35" spans="2:12" ht="174" customHeight="1" x14ac:dyDescent="0.25">
      <c r="B35" s="70" t="s">
        <v>96</v>
      </c>
      <c r="C35" s="71"/>
      <c r="D35" s="71"/>
      <c r="E35" s="71"/>
      <c r="F35" s="71"/>
      <c r="G35" s="71"/>
    </row>
    <row r="42" spans="2:12" x14ac:dyDescent="0.25">
      <c r="H42" s="61"/>
      <c r="I42" s="61"/>
      <c r="J42" s="62"/>
      <c r="K42" s="62"/>
      <c r="L42" s="62"/>
    </row>
    <row r="43" spans="2:12" x14ac:dyDescent="0.25">
      <c r="H43" s="61"/>
      <c r="I43" s="61"/>
      <c r="J43" s="62"/>
      <c r="K43" s="62"/>
      <c r="L43" s="62"/>
    </row>
    <row r="44" spans="2:12" x14ac:dyDescent="0.25">
      <c r="H44" s="61"/>
      <c r="I44" s="61"/>
      <c r="J44" s="62"/>
      <c r="K44" s="62"/>
      <c r="L44" s="62"/>
    </row>
    <row r="45" spans="2:12" x14ac:dyDescent="0.25">
      <c r="H45" s="61"/>
      <c r="I45" s="61"/>
      <c r="J45" s="62"/>
      <c r="K45" s="62"/>
      <c r="L45" s="62"/>
    </row>
    <row r="46" spans="2:12" ht="30.75" customHeight="1" x14ac:dyDescent="0.25">
      <c r="B46" s="70"/>
      <c r="C46" s="70"/>
      <c r="D46" s="70"/>
      <c r="E46" s="70"/>
      <c r="H46" s="61"/>
      <c r="I46" s="61"/>
      <c r="J46" s="62"/>
      <c r="K46" s="62"/>
      <c r="L46" s="62"/>
    </row>
    <row r="47" spans="2:12" x14ac:dyDescent="0.25">
      <c r="H47" s="61"/>
      <c r="I47" s="61"/>
      <c r="J47" s="62"/>
      <c r="K47" s="62"/>
      <c r="L47" s="62"/>
    </row>
    <row r="48" spans="2:12" x14ac:dyDescent="0.25">
      <c r="H48" s="61"/>
      <c r="I48" s="61"/>
      <c r="J48" s="62"/>
      <c r="K48" s="62"/>
      <c r="L48" s="62"/>
    </row>
    <row r="49" spans="3:12" x14ac:dyDescent="0.25">
      <c r="H49" s="61"/>
      <c r="I49" s="61"/>
      <c r="J49" s="62"/>
      <c r="K49" s="62"/>
      <c r="L49" s="62"/>
    </row>
    <row r="50" spans="3:12" x14ac:dyDescent="0.25">
      <c r="G50" s="28" t="str">
        <f>IF(OR(H7=3,H7=4),"zona en emergencia","")</f>
        <v/>
      </c>
      <c r="H50" s="61"/>
      <c r="I50" s="61"/>
      <c r="J50" s="62"/>
      <c r="K50" s="62"/>
      <c r="L50" s="62"/>
    </row>
    <row r="57" spans="3:12" x14ac:dyDescent="0.25">
      <c r="C57" s="63"/>
      <c r="D57" s="64"/>
      <c r="E57" s="62"/>
    </row>
    <row r="58" spans="3:12" x14ac:dyDescent="0.25">
      <c r="C58" s="65"/>
      <c r="D58" s="62"/>
      <c r="E58" s="66"/>
    </row>
    <row r="59" spans="3:12" x14ac:dyDescent="0.25">
      <c r="C59" s="65"/>
      <c r="D59" s="62"/>
      <c r="E59" s="66"/>
    </row>
    <row r="60" spans="3:12" x14ac:dyDescent="0.25">
      <c r="C60" s="65"/>
      <c r="D60" s="62"/>
      <c r="E60" s="66"/>
    </row>
    <row r="61" spans="3:12" x14ac:dyDescent="0.25">
      <c r="C61" s="65"/>
      <c r="D61" s="62"/>
      <c r="E61" s="66"/>
    </row>
    <row r="62" spans="3:12" x14ac:dyDescent="0.25">
      <c r="C62" s="65"/>
      <c r="D62" s="62"/>
      <c r="E62" s="66"/>
    </row>
  </sheetData>
  <mergeCells count="8">
    <mergeCell ref="B32:H32"/>
    <mergeCell ref="B35:G35"/>
    <mergeCell ref="B46:E46"/>
    <mergeCell ref="A1:H1"/>
    <mergeCell ref="A2:H2"/>
    <mergeCell ref="C4:G4"/>
    <mergeCell ref="D5:E5"/>
    <mergeCell ref="F5:G5"/>
  </mergeCells>
  <pageMargins left="0.75" right="0.75" top="1" bottom="1" header="0" footer="0"/>
  <pageSetup paperSize="5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Función SI</vt:lpstr>
      <vt:lpstr>Sumar.si Contar.SI</vt:lpstr>
      <vt:lpstr>Filtros Avanzados</vt:lpstr>
    </vt:vector>
  </TitlesOfParts>
  <Company>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</dc:creator>
  <cp:lastModifiedBy>John</cp:lastModifiedBy>
  <dcterms:created xsi:type="dcterms:W3CDTF">2013-03-09T05:37:27Z</dcterms:created>
  <dcterms:modified xsi:type="dcterms:W3CDTF">2025-05-07T17:32:15Z</dcterms:modified>
</cp:coreProperties>
</file>