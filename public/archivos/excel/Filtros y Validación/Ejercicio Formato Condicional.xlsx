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5796482-E7E7-4EC7-ACB9-2006253A2E6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stilo" sheetId="1" r:id="rId1"/>
    <sheet name="Iconos" sheetId="2" r:id="rId2"/>
    <sheet name="Formulas 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3" i="4" l="1"/>
  <c r="F13" i="4" s="1"/>
  <c r="F12" i="4"/>
  <c r="E12" i="4"/>
  <c r="E11" i="4"/>
  <c r="F11" i="4" s="1"/>
  <c r="F10" i="4"/>
  <c r="E10" i="4"/>
  <c r="E9" i="4"/>
  <c r="F9" i="4" s="1"/>
  <c r="F8" i="4"/>
  <c r="E8" i="4"/>
  <c r="E7" i="4"/>
  <c r="F7" i="4" s="1"/>
  <c r="F6" i="4"/>
  <c r="E6" i="4"/>
  <c r="E5" i="4"/>
  <c r="F5" i="4" s="1"/>
  <c r="F4" i="4"/>
  <c r="E4" i="4"/>
  <c r="F5" i="2"/>
  <c r="F6" i="2"/>
  <c r="F7" i="2"/>
  <c r="F8" i="2"/>
  <c r="F9" i="2"/>
  <c r="F10" i="2"/>
  <c r="F11" i="2"/>
  <c r="F12" i="2"/>
  <c r="F13" i="2"/>
  <c r="F4" i="2"/>
  <c r="E13" i="2"/>
  <c r="E12" i="2"/>
  <c r="E11" i="2"/>
  <c r="E10" i="2"/>
  <c r="E9" i="2"/>
  <c r="E8" i="2"/>
  <c r="E7" i="2"/>
  <c r="E6" i="2"/>
  <c r="E5" i="2"/>
  <c r="E4" i="2"/>
  <c r="E11" i="1"/>
  <c r="E10" i="1"/>
  <c r="E9" i="1"/>
  <c r="E8" i="1"/>
  <c r="E7" i="1"/>
  <c r="E6" i="1"/>
  <c r="E5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</author>
  </authors>
  <commentList>
    <comment ref="A18" authorId="0" shapeId="0" xr:uid="{9ACF352C-136D-4EA1-B788-D2F404F7E032}">
      <text>
        <r>
          <rPr>
            <sz val="10"/>
            <color theme="1"/>
            <rFont val="Liberation Sans"/>
          </rPr>
          <t xml:space="preserve">Se trata de la función </t>
        </r>
        <r>
          <rPr>
            <b/>
            <sz val="10"/>
            <color theme="1"/>
            <rFont val="Liberation Sans"/>
          </rPr>
          <t>MODA</t>
        </r>
        <r>
          <rPr>
            <sz val="10"/>
            <color theme="1"/>
            <rFont val="Liberation Sans"/>
          </rPr>
          <t>.</t>
        </r>
      </text>
    </comment>
    <comment ref="A19" authorId="0" shapeId="0" xr:uid="{14DE6A54-6B4B-4762-A598-28C6427F6AA2}">
      <text>
        <r>
          <rPr>
            <sz val="10"/>
            <color theme="1"/>
            <rFont val="Liberation Sans"/>
          </rPr>
          <t xml:space="preserve">Se trata de la función </t>
        </r>
        <r>
          <rPr>
            <b/>
            <sz val="10"/>
            <color theme="1"/>
            <rFont val="Liberation Sans"/>
          </rPr>
          <t>MEDIANA</t>
        </r>
        <r>
          <rPr>
            <sz val="10"/>
            <color theme="1"/>
            <rFont val="Liberation Sans"/>
          </rPr>
          <t>.</t>
        </r>
      </text>
    </comment>
  </commentList>
</comments>
</file>

<file path=xl/sharedStrings.xml><?xml version="1.0" encoding="utf-8"?>
<sst xmlns="http://schemas.openxmlformats.org/spreadsheetml/2006/main" count="97" uniqueCount="75">
  <si>
    <t>Relación de facturas pendientes de cobro</t>
  </si>
  <si>
    <t>a fecha:</t>
  </si>
  <si>
    <t>Cliente</t>
  </si>
  <si>
    <t>Factura</t>
  </si>
  <si>
    <t>Importe</t>
  </si>
  <si>
    <t>Vencimiento</t>
  </si>
  <si>
    <t>Retraso días</t>
  </si>
  <si>
    <t>Carnicer Heras</t>
  </si>
  <si>
    <t>Alvarez Justo</t>
  </si>
  <si>
    <t>Arana Higueras</t>
  </si>
  <si>
    <t>Hidalgo Jimena</t>
  </si>
  <si>
    <t>Lopez Vara</t>
  </si>
  <si>
    <t>Martín Peña</t>
  </si>
  <si>
    <t>Sierra Garzón</t>
  </si>
  <si>
    <t>González Suevo</t>
  </si>
  <si>
    <t>se muestren en negrita y fondo rojo los importes superiores a 2000.</t>
  </si>
  <si>
    <t>se muestren en negrita y fondo azul los valores entre 31 y 60 días.</t>
  </si>
  <si>
    <t>se muestren en negrita y fondo naranja los valores entre 61 y 90 días.</t>
  </si>
  <si>
    <t>se muestren en negrita y fondo rojo los valores entre 61 y 90 días.</t>
  </si>
  <si>
    <t>Aplica un formato condicional al rango correspondiente al Importe (C4:C11) de manera que:</t>
  </si>
  <si>
    <t>Aplica un formato condicional al rango correspondiente a Retraso días (E4:E11) de manera que:</t>
  </si>
  <si>
    <t>Vendedor</t>
  </si>
  <si>
    <t>Zona</t>
  </si>
  <si>
    <t>Llamadas</t>
  </si>
  <si>
    <t>Visitas</t>
  </si>
  <si>
    <t>Eficacia</t>
  </si>
  <si>
    <t>Sí/No</t>
  </si>
  <si>
    <t>López</t>
  </si>
  <si>
    <t>sur</t>
  </si>
  <si>
    <t>Dieguez</t>
  </si>
  <si>
    <t>norte</t>
  </si>
  <si>
    <t>oeste</t>
  </si>
  <si>
    <t>Sastre</t>
  </si>
  <si>
    <t>este</t>
  </si>
  <si>
    <t>Eficaces</t>
  </si>
  <si>
    <t>No eficaces</t>
  </si>
  <si>
    <t>Umbral de eficacia:</t>
  </si>
  <si>
    <t>Valor mínimo: color Rojo 10.</t>
  </si>
  <si>
    <t>Valor medio: Percentil 50, color Cian 10.</t>
  </si>
  <si>
    <t>Valor máximo: color Turquesa 10.</t>
  </si>
  <si>
    <t>1. Modifica las fórmulas de la columna Sí/No (rango F4:F13) para que en vez de Sí o No, se muestre 1 o 0.</t>
  </si>
  <si>
    <t>2. Aplica a la columna  Sí/No (rango F4:F13) un formato condicional de iconos estilo Luces de semáforo1 que muestre un semáforo verde para los vendedores eficaces y un semáforo rojo para los no eficaces.</t>
  </si>
  <si>
    <t>3. Aplica a la columna Llamadas (rango C4:C13) un formato condicional de escala de color de tres entradas, configuradas como sigue:</t>
  </si>
  <si>
    <t>4. Aplica a la columna Visitas (rango D4:D13) un formato condicional de barra de datos color Rosado 8.</t>
  </si>
  <si>
    <t>NOTAS ALUMNOS</t>
  </si>
  <si>
    <t>Nombre alumno</t>
  </si>
  <si>
    <t>Trim 1</t>
  </si>
  <si>
    <t>Trim 2</t>
  </si>
  <si>
    <t>Trim 3</t>
  </si>
  <si>
    <t>Nota</t>
  </si>
  <si>
    <t>Evaluación</t>
  </si>
  <si>
    <t>Mariano Pérez</t>
  </si>
  <si>
    <t>Susana Díaz</t>
  </si>
  <si>
    <t>Margarita Soler</t>
  </si>
  <si>
    <t>Montse Abril</t>
  </si>
  <si>
    <t>Joan Cisa</t>
  </si>
  <si>
    <t>Jose Sánchez</t>
  </si>
  <si>
    <t>Albert Català</t>
  </si>
  <si>
    <t>Robert Amic</t>
  </si>
  <si>
    <t>Anna Torres</t>
  </si>
  <si>
    <t>Javier García</t>
  </si>
  <si>
    <t>Referido a las notas trimestrales:</t>
  </si>
  <si>
    <t>Nota máxima</t>
  </si>
  <si>
    <t>Nota mínima</t>
  </si>
  <si>
    <t>nº alumnos</t>
  </si>
  <si>
    <t>Nota más repetida</t>
  </si>
  <si>
    <t>Mediana de notas</t>
  </si>
  <si>
    <t>Número</t>
  </si>
  <si>
    <t>%</t>
  </si>
  <si>
    <t>Insuficiente</t>
  </si>
  <si>
    <t>Aprobado</t>
  </si>
  <si>
    <t>Notable</t>
  </si>
  <si>
    <t>Excelente</t>
  </si>
  <si>
    <t>1. Establece un formato condicional que asigne fuente negrita y fondo de color Rojo 9 a todas las celdas de las filas con alumnos con calificación Insuficiente.</t>
  </si>
  <si>
    <t>2. Establece un formato condicional que asigne fuente negrita y fondo de color Verde 9 a todas las celdas de las filas con alumnos con calificación Excelente.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</si>
</sst>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#0.00&quot; &quot;[$€-C0A];[Red]&quot;-&quot;#,##0.00&quot; &quot;[$€-C0A]"/>
    <numFmt numFmtId="166" formatCode="0.0%"/>
  </numFmts>
  <fonts count="12">
    <font>
      <sz val="11"/>
      <color theme="1"/>
      <name val="Arial1"/>
      <family val="2"/>
    </font>
    <font>
      <b/>
      <i/>
      <sz val="16"/>
      <color theme="1"/>
      <name val="Arial1"/>
      <family val="2"/>
    </font>
    <font>
      <b/>
      <i/>
      <u/>
      <sz val="11"/>
      <color theme="1"/>
      <name val="Arial1"/>
      <family val="2"/>
    </font>
    <font>
      <b/>
      <sz val="10"/>
      <color theme="1"/>
      <name val="Arial1"/>
    </font>
    <font>
      <sz val="10"/>
      <color theme="1"/>
      <name val="Arial1"/>
    </font>
    <font>
      <b/>
      <sz val="11"/>
      <color theme="1"/>
      <name val="Arial1"/>
      <family val="2"/>
    </font>
    <font>
      <sz val="14"/>
      <color theme="1"/>
      <name val="Arial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</fonts>
  <fills count="7">
    <fill>
      <patternFill patternType="none"/>
    </fill>
    <fill>
      <patternFill patternType="gray125"/>
    </fill>
    <fill>
      <patternFill patternType="solid">
        <fgColor rgb="FFCCFF99"/>
        <bgColor rgb="FFCCFF99"/>
      </patternFill>
    </fill>
    <fill>
      <patternFill patternType="solid">
        <fgColor rgb="FFCCFFFF"/>
        <bgColor rgb="FFCCFFFF"/>
      </patternFill>
    </fill>
    <fill>
      <patternFill patternType="solid">
        <fgColor rgb="FFFFCCCC"/>
        <bgColor rgb="FFFFCCCC"/>
      </patternFill>
    </fill>
    <fill>
      <patternFill patternType="solid">
        <fgColor rgb="FFCFE7F5"/>
        <bgColor rgb="FFCFE7F5"/>
      </patternFill>
    </fill>
    <fill>
      <patternFill patternType="solid">
        <fgColor rgb="FFE6E6FF"/>
        <bgColor rgb="FFE6E6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5" fontId="2" fillId="0" borderId="0"/>
    <xf numFmtId="9" fontId="8" fillId="0" borderId="0"/>
  </cellStyleXfs>
  <cellXfs count="35">
    <xf numFmtId="0" fontId="0" fillId="0" borderId="0" xfId="0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/>
    </xf>
    <xf numFmtId="164" fontId="4" fillId="0" borderId="1" xfId="0" applyNumberFormat="1" applyFont="1" applyBorder="1" applyAlignment="1">
      <alignment horizontal="right"/>
    </xf>
    <xf numFmtId="0" fontId="4" fillId="0" borderId="1" xfId="0" applyFont="1" applyBorder="1"/>
    <xf numFmtId="164" fontId="4" fillId="0" borderId="0" xfId="0" applyNumberFormat="1" applyFont="1" applyBorder="1"/>
    <xf numFmtId="0" fontId="3" fillId="0" borderId="0" xfId="0" applyFont="1" applyBorder="1"/>
    <xf numFmtId="165" fontId="3" fillId="0" borderId="0" xfId="0" applyNumberFormat="1" applyFont="1" applyBorder="1"/>
    <xf numFmtId="0" fontId="6" fillId="0" borderId="0" xfId="0" applyFont="1" applyBorder="1"/>
    <xf numFmtId="10" fontId="0" fillId="0" borderId="1" xfId="0" applyNumberForma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7" fillId="0" borderId="1" xfId="0" applyFont="1" applyBorder="1"/>
    <xf numFmtId="0" fontId="0" fillId="0" borderId="1" xfId="0" applyBorder="1"/>
    <xf numFmtId="0" fontId="9" fillId="3" borderId="1" xfId="0" applyFont="1" applyFill="1" applyBorder="1" applyAlignment="1">
      <alignment horizontal="center"/>
    </xf>
    <xf numFmtId="2" fontId="0" fillId="0" borderId="1" xfId="0" applyNumberFormat="1" applyBorder="1"/>
    <xf numFmtId="0" fontId="9" fillId="4" borderId="1" xfId="0" applyFont="1" applyFill="1" applyBorder="1"/>
    <xf numFmtId="0" fontId="9" fillId="0" borderId="1" xfId="0" applyFont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0" fillId="6" borderId="1" xfId="0" applyFill="1" applyBorder="1"/>
    <xf numFmtId="9" fontId="8" fillId="0" borderId="1" xfId="5" applyBorder="1"/>
    <xf numFmtId="0" fontId="3" fillId="0" borderId="0" xfId="0" applyFont="1" applyFill="1" applyBorder="1"/>
    <xf numFmtId="0" fontId="7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/>
    </xf>
  </cellXfs>
  <cellStyles count="6">
    <cellStyle name="Excel_BuiltIn_Percent" xfId="5" xr:uid="{3EF28359-A0B3-4EEE-AA68-F5720F61EE47}"/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colors>
    <mruColors>
      <color rgb="FFBD6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2"/>
  <sheetViews>
    <sheetView workbookViewId="0">
      <selection activeCell="A22" sqref="A22"/>
    </sheetView>
  </sheetViews>
  <sheetFormatPr baseColWidth="10" defaultRowHeight="14.25"/>
  <cols>
    <col min="1" max="1" width="24.75" style="3" customWidth="1"/>
    <col min="2" max="2" width="11.875" style="3" customWidth="1"/>
    <col min="3" max="3" width="12.75" style="3" customWidth="1"/>
    <col min="4" max="4" width="12" style="3" customWidth="1"/>
    <col min="5" max="5" width="10.375" style="3" customWidth="1"/>
    <col min="6" max="6" width="10" style="3" customWidth="1"/>
    <col min="7" max="256" width="8.5" style="3" customWidth="1"/>
    <col min="257" max="1024" width="10.75" customWidth="1"/>
  </cols>
  <sheetData>
    <row r="1" spans="1:256">
      <c r="A1" s="31" t="s">
        <v>0</v>
      </c>
      <c r="B1" s="31"/>
      <c r="C1" s="31"/>
      <c r="D1" s="1" t="s">
        <v>1</v>
      </c>
      <c r="E1" s="2">
        <v>39278</v>
      </c>
    </row>
    <row r="3" spans="1:256" s="7" customFormat="1" ht="25.5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</row>
    <row r="4" spans="1:256">
      <c r="A4" s="8" t="s">
        <v>7</v>
      </c>
      <c r="B4" s="1">
        <v>197</v>
      </c>
      <c r="C4" s="1">
        <v>9908</v>
      </c>
      <c r="D4" s="9">
        <v>39247</v>
      </c>
      <c r="E4" s="10">
        <f t="shared" ref="E4:E11" si="0">$E$1-D4</f>
        <v>31</v>
      </c>
    </row>
    <row r="5" spans="1:256">
      <c r="A5" s="8" t="s">
        <v>8</v>
      </c>
      <c r="B5" s="1">
        <v>188</v>
      </c>
      <c r="C5" s="1">
        <v>11779</v>
      </c>
      <c r="D5" s="9">
        <v>39188</v>
      </c>
      <c r="E5" s="10">
        <f t="shared" si="0"/>
        <v>90</v>
      </c>
    </row>
    <row r="6" spans="1:256">
      <c r="A6" s="8" t="s">
        <v>9</v>
      </c>
      <c r="B6" s="1">
        <v>205</v>
      </c>
      <c r="C6" s="1">
        <v>7719</v>
      </c>
      <c r="D6" s="9">
        <v>39256</v>
      </c>
      <c r="E6" s="10">
        <f t="shared" si="0"/>
        <v>22</v>
      </c>
    </row>
    <row r="7" spans="1:256">
      <c r="A7" s="8" t="s">
        <v>10</v>
      </c>
      <c r="B7" s="1">
        <v>197</v>
      </c>
      <c r="C7" s="1">
        <v>11412</v>
      </c>
      <c r="D7" s="9">
        <v>39176</v>
      </c>
      <c r="E7" s="10">
        <f t="shared" si="0"/>
        <v>102</v>
      </c>
    </row>
    <row r="8" spans="1:256">
      <c r="A8" s="8" t="s">
        <v>11</v>
      </c>
      <c r="B8" s="1">
        <v>157</v>
      </c>
      <c r="C8" s="1">
        <v>639</v>
      </c>
      <c r="D8" s="9">
        <v>39137</v>
      </c>
      <c r="E8" s="10">
        <f t="shared" si="0"/>
        <v>141</v>
      </c>
    </row>
    <row r="9" spans="1:256">
      <c r="A9" s="8" t="s">
        <v>12</v>
      </c>
      <c r="B9" s="1">
        <v>204</v>
      </c>
      <c r="C9" s="1">
        <v>1064</v>
      </c>
      <c r="D9" s="9">
        <v>39208</v>
      </c>
      <c r="E9" s="10">
        <f t="shared" si="0"/>
        <v>70</v>
      </c>
    </row>
    <row r="10" spans="1:256">
      <c r="A10" s="8" t="s">
        <v>13</v>
      </c>
      <c r="B10" s="1">
        <v>229</v>
      </c>
      <c r="C10" s="1">
        <v>1436</v>
      </c>
      <c r="D10" s="9">
        <v>39195</v>
      </c>
      <c r="E10" s="10">
        <f t="shared" si="0"/>
        <v>83</v>
      </c>
    </row>
    <row r="11" spans="1:256">
      <c r="A11" s="8" t="s">
        <v>14</v>
      </c>
      <c r="B11" s="1">
        <v>205</v>
      </c>
      <c r="C11" s="1">
        <v>2972</v>
      </c>
      <c r="D11" s="9">
        <v>39257</v>
      </c>
      <c r="E11" s="10">
        <f t="shared" si="0"/>
        <v>21</v>
      </c>
    </row>
    <row r="14" spans="1:256">
      <c r="D14" s="11"/>
    </row>
    <row r="15" spans="1:256" ht="18">
      <c r="A15" s="14" t="s">
        <v>19</v>
      </c>
      <c r="B15" s="13"/>
      <c r="D15" s="11"/>
    </row>
    <row r="16" spans="1:256" ht="18">
      <c r="A16" s="14" t="s">
        <v>15</v>
      </c>
      <c r="B16" s="12"/>
      <c r="D16" s="11"/>
    </row>
    <row r="17" spans="1:4">
      <c r="D17" s="11"/>
    </row>
    <row r="18" spans="1:4" ht="18">
      <c r="A18" s="14" t="s">
        <v>20</v>
      </c>
      <c r="D18" s="11"/>
    </row>
    <row r="19" spans="1:4" ht="18">
      <c r="A19" s="14" t="s">
        <v>16</v>
      </c>
      <c r="D19" s="11"/>
    </row>
    <row r="20" spans="1:4" ht="18">
      <c r="A20" s="14" t="s">
        <v>17</v>
      </c>
      <c r="D20" s="11"/>
    </row>
    <row r="21" spans="1:4" ht="18">
      <c r="A21" s="14" t="s">
        <v>18</v>
      </c>
      <c r="D21" s="11"/>
    </row>
    <row r="22" spans="1:4">
      <c r="D22" s="11"/>
    </row>
  </sheetData>
  <mergeCells count="1">
    <mergeCell ref="A1:C1"/>
  </mergeCells>
  <pageMargins left="0.74803149606299213" right="0.74803149606299213" top="1.2795275590551181" bottom="1.2795275590551181" header="0.98385826771653528" footer="0.98385826771653528"/>
  <pageSetup fitToWidth="0" fitToHeight="0" pageOrder="overThenDown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opLeftCell="A4" workbookViewId="0">
      <selection activeCell="C19" sqref="C19:F22"/>
    </sheetView>
  </sheetViews>
  <sheetFormatPr baseColWidth="10" defaultRowHeight="14.25"/>
  <cols>
    <col min="1" max="7" width="8.375" customWidth="1"/>
    <col min="8" max="8" width="169.5" bestFit="1" customWidth="1"/>
    <col min="9" max="256" width="8.375" customWidth="1"/>
  </cols>
  <sheetData>
    <row r="1" spans="1:8">
      <c r="A1" s="32" t="s">
        <v>36</v>
      </c>
      <c r="B1" s="32"/>
      <c r="C1" s="15">
        <v>0.4</v>
      </c>
    </row>
    <row r="3" spans="1:8">
      <c r="A3" s="16" t="s">
        <v>21</v>
      </c>
      <c r="B3" s="16" t="s">
        <v>22</v>
      </c>
      <c r="C3" s="16" t="s">
        <v>23</v>
      </c>
      <c r="D3" s="16" t="s">
        <v>24</v>
      </c>
      <c r="E3" s="16" t="s">
        <v>25</v>
      </c>
      <c r="F3" s="16" t="s">
        <v>26</v>
      </c>
    </row>
    <row r="4" spans="1:8">
      <c r="A4" s="17" t="s">
        <v>27</v>
      </c>
      <c r="B4" s="18" t="s">
        <v>28</v>
      </c>
      <c r="C4" s="18">
        <v>7</v>
      </c>
      <c r="D4" s="18">
        <v>1</v>
      </c>
      <c r="E4" s="19">
        <f t="shared" ref="E4:E13" si="0">D4/C4</f>
        <v>0.14285714285714285</v>
      </c>
      <c r="F4" s="18" t="str">
        <f>IF(E4&gt;=$C$1,"si","no")</f>
        <v>no</v>
      </c>
      <c r="H4" t="s">
        <v>40</v>
      </c>
    </row>
    <row r="5" spans="1:8">
      <c r="A5" s="17" t="s">
        <v>29</v>
      </c>
      <c r="B5" s="18" t="s">
        <v>30</v>
      </c>
      <c r="C5" s="18">
        <v>9</v>
      </c>
      <c r="D5" s="18">
        <v>1</v>
      </c>
      <c r="E5" s="19">
        <f t="shared" si="0"/>
        <v>0.1111111111111111</v>
      </c>
      <c r="F5" s="18" t="str">
        <f t="shared" ref="F5:F13" si="1">IF(E5&gt;=$C$1,"si","no")</f>
        <v>no</v>
      </c>
      <c r="H5" t="s">
        <v>41</v>
      </c>
    </row>
    <row r="6" spans="1:8">
      <c r="A6" s="17" t="s">
        <v>27</v>
      </c>
      <c r="B6" s="18" t="s">
        <v>31</v>
      </c>
      <c r="C6" s="18">
        <v>12</v>
      </c>
      <c r="D6" s="18">
        <v>2</v>
      </c>
      <c r="E6" s="19">
        <f t="shared" si="0"/>
        <v>0.16666666666666666</v>
      </c>
      <c r="F6" s="18" t="str">
        <f t="shared" si="1"/>
        <v>no</v>
      </c>
      <c r="H6" t="s">
        <v>42</v>
      </c>
    </row>
    <row r="7" spans="1:8">
      <c r="A7" s="17" t="s">
        <v>29</v>
      </c>
      <c r="B7" s="18" t="s">
        <v>28</v>
      </c>
      <c r="C7" s="18">
        <v>15</v>
      </c>
      <c r="D7" s="18">
        <v>4</v>
      </c>
      <c r="E7" s="19">
        <f t="shared" si="0"/>
        <v>0.26666666666666666</v>
      </c>
      <c r="F7" s="18" t="str">
        <f t="shared" si="1"/>
        <v>no</v>
      </c>
      <c r="H7" t="s">
        <v>37</v>
      </c>
    </row>
    <row r="8" spans="1:8">
      <c r="A8" s="17" t="s">
        <v>32</v>
      </c>
      <c r="B8" s="18" t="s">
        <v>28</v>
      </c>
      <c r="C8" s="18">
        <v>16</v>
      </c>
      <c r="D8" s="18">
        <v>8</v>
      </c>
      <c r="E8" s="19">
        <f t="shared" si="0"/>
        <v>0.5</v>
      </c>
      <c r="F8" s="18" t="str">
        <f t="shared" si="1"/>
        <v>si</v>
      </c>
      <c r="H8" t="s">
        <v>38</v>
      </c>
    </row>
    <row r="9" spans="1:8">
      <c r="A9" s="17" t="s">
        <v>29</v>
      </c>
      <c r="B9" s="18" t="s">
        <v>33</v>
      </c>
      <c r="C9" s="18">
        <v>19</v>
      </c>
      <c r="D9" s="18">
        <v>6</v>
      </c>
      <c r="E9" s="19">
        <f t="shared" si="0"/>
        <v>0.31578947368421051</v>
      </c>
      <c r="F9" s="18" t="str">
        <f t="shared" si="1"/>
        <v>no</v>
      </c>
      <c r="H9" t="s">
        <v>39</v>
      </c>
    </row>
    <row r="10" spans="1:8">
      <c r="A10" s="17" t="s">
        <v>32</v>
      </c>
      <c r="B10" s="18" t="s">
        <v>31</v>
      </c>
      <c r="C10" s="18">
        <v>21</v>
      </c>
      <c r="D10" s="18">
        <v>9</v>
      </c>
      <c r="E10" s="19">
        <f t="shared" si="0"/>
        <v>0.42857142857142855</v>
      </c>
      <c r="F10" s="18" t="str">
        <f t="shared" si="1"/>
        <v>si</v>
      </c>
      <c r="H10" t="s">
        <v>43</v>
      </c>
    </row>
    <row r="11" spans="1:8">
      <c r="A11" s="17" t="s">
        <v>32</v>
      </c>
      <c r="B11" s="18" t="s">
        <v>33</v>
      </c>
      <c r="C11" s="18">
        <v>25</v>
      </c>
      <c r="D11" s="18">
        <v>10</v>
      </c>
      <c r="E11" s="19">
        <f t="shared" si="0"/>
        <v>0.4</v>
      </c>
      <c r="F11" s="18" t="str">
        <f t="shared" si="1"/>
        <v>si</v>
      </c>
    </row>
    <row r="12" spans="1:8">
      <c r="A12" s="17" t="s">
        <v>27</v>
      </c>
      <c r="B12" s="18" t="s">
        <v>30</v>
      </c>
      <c r="C12" s="18">
        <v>34</v>
      </c>
      <c r="D12" s="18">
        <v>15</v>
      </c>
      <c r="E12" s="19">
        <f t="shared" si="0"/>
        <v>0.44117647058823528</v>
      </c>
      <c r="F12" s="18" t="str">
        <f t="shared" si="1"/>
        <v>si</v>
      </c>
    </row>
    <row r="13" spans="1:8">
      <c r="A13" s="17" t="s">
        <v>32</v>
      </c>
      <c r="B13" s="18" t="s">
        <v>30</v>
      </c>
      <c r="C13" s="18">
        <v>60</v>
      </c>
      <c r="D13" s="18">
        <v>13</v>
      </c>
      <c r="E13" s="19">
        <f t="shared" si="0"/>
        <v>0.21666666666666667</v>
      </c>
      <c r="F13" s="18" t="str">
        <f t="shared" si="1"/>
        <v>no</v>
      </c>
    </row>
    <row r="14" spans="1:8">
      <c r="E14" s="20" t="s">
        <v>34</v>
      </c>
      <c r="F14" s="18"/>
    </row>
    <row r="15" spans="1:8">
      <c r="E15" s="20" t="s">
        <v>35</v>
      </c>
      <c r="F15" s="18"/>
    </row>
    <row r="18" spans="2:6">
      <c r="B18" s="16" t="s">
        <v>22</v>
      </c>
      <c r="C18" s="16" t="s">
        <v>23</v>
      </c>
      <c r="D18" s="16" t="s">
        <v>24</v>
      </c>
      <c r="E18" s="16" t="s">
        <v>25</v>
      </c>
      <c r="F18" s="16" t="s">
        <v>26</v>
      </c>
    </row>
    <row r="19" spans="2:6">
      <c r="B19" s="21" t="s">
        <v>30</v>
      </c>
      <c r="C19" s="21"/>
      <c r="D19" s="21"/>
      <c r="E19" s="19"/>
      <c r="F19" s="18"/>
    </row>
    <row r="20" spans="2:6">
      <c r="B20" s="21" t="s">
        <v>28</v>
      </c>
      <c r="C20" s="21"/>
      <c r="D20" s="21"/>
      <c r="E20" s="19"/>
      <c r="F20" s="18"/>
    </row>
    <row r="21" spans="2:6">
      <c r="B21" s="21" t="s">
        <v>33</v>
      </c>
      <c r="C21" s="21"/>
      <c r="D21" s="21"/>
      <c r="E21" s="19"/>
      <c r="F21" s="18"/>
    </row>
    <row r="22" spans="2:6">
      <c r="B22" s="21" t="s">
        <v>31</v>
      </c>
      <c r="C22" s="21"/>
      <c r="D22" s="21"/>
      <c r="E22" s="19"/>
      <c r="F22" s="18"/>
    </row>
  </sheetData>
  <mergeCells count="1">
    <mergeCell ref="A1:B1"/>
  </mergeCells>
  <pageMargins left="0.74803149606299213" right="0.74803149606299213" top="1.2795275590551181" bottom="1.2795275590551181" header="0.98385826771653528" footer="0.98385826771653528"/>
  <pageSetup paperSize="0" fitToWidth="0" fitToHeight="0" pageOrder="overThenDown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73D8-3B9E-4DEF-AAA8-71D2F762B05E}">
  <dimension ref="A1:H25"/>
  <sheetViews>
    <sheetView tabSelected="1" topLeftCell="A11" workbookViewId="0">
      <selection activeCell="A27" sqref="A27"/>
    </sheetView>
  </sheetViews>
  <sheetFormatPr baseColWidth="10" defaultRowHeight="14.25"/>
  <cols>
    <col min="1" max="1" width="17" bestFit="1" customWidth="1"/>
  </cols>
  <sheetData>
    <row r="1" spans="1:8" ht="15">
      <c r="A1" s="33" t="s">
        <v>44</v>
      </c>
      <c r="B1" s="33"/>
      <c r="C1" s="33"/>
      <c r="D1" s="33"/>
      <c r="E1" s="33"/>
      <c r="F1" s="33"/>
    </row>
    <row r="3" spans="1:8" ht="15">
      <c r="A3" s="22" t="s">
        <v>45</v>
      </c>
      <c r="B3" s="22" t="s">
        <v>46</v>
      </c>
      <c r="C3" s="22" t="s">
        <v>47</v>
      </c>
      <c r="D3" s="22" t="s">
        <v>48</v>
      </c>
      <c r="E3" s="22" t="s">
        <v>49</v>
      </c>
      <c r="F3" s="22" t="s">
        <v>50</v>
      </c>
    </row>
    <row r="4" spans="1:8">
      <c r="A4" s="21" t="s">
        <v>51</v>
      </c>
      <c r="B4" s="21">
        <v>2</v>
      </c>
      <c r="C4" s="21">
        <v>3</v>
      </c>
      <c r="D4" s="21">
        <v>5</v>
      </c>
      <c r="E4" s="23">
        <f t="shared" ref="E4:E13" si="0">AVERAGE(B4:D4)</f>
        <v>3.3333333333333335</v>
      </c>
      <c r="F4" s="21" t="str">
        <f t="shared" ref="F4:F13" si="1">VLOOKUP(E4,$A$22:$B$25,2)</f>
        <v>Insuficiente</v>
      </c>
    </row>
    <row r="5" spans="1:8">
      <c r="A5" s="21" t="s">
        <v>52</v>
      </c>
      <c r="B5" s="21">
        <v>9</v>
      </c>
      <c r="C5" s="21">
        <v>8</v>
      </c>
      <c r="D5" s="21">
        <v>4</v>
      </c>
      <c r="E5" s="23">
        <f t="shared" si="0"/>
        <v>7</v>
      </c>
      <c r="F5" s="21" t="str">
        <f t="shared" si="1"/>
        <v>Notable</v>
      </c>
    </row>
    <row r="6" spans="1:8">
      <c r="A6" s="21" t="s">
        <v>53</v>
      </c>
      <c r="B6" s="21">
        <v>6</v>
      </c>
      <c r="C6" s="21">
        <v>6</v>
      </c>
      <c r="D6" s="21">
        <v>5.75</v>
      </c>
      <c r="E6" s="23">
        <f t="shared" si="0"/>
        <v>5.916666666666667</v>
      </c>
      <c r="F6" s="21" t="str">
        <f t="shared" si="1"/>
        <v>Aprobado</v>
      </c>
    </row>
    <row r="7" spans="1:8">
      <c r="A7" s="21" t="s">
        <v>54</v>
      </c>
      <c r="B7" s="21">
        <v>7</v>
      </c>
      <c r="C7" s="21">
        <v>4</v>
      </c>
      <c r="D7" s="21">
        <v>5</v>
      </c>
      <c r="E7" s="23">
        <f t="shared" si="0"/>
        <v>5.333333333333333</v>
      </c>
      <c r="F7" s="21" t="str">
        <f t="shared" si="1"/>
        <v>Aprobado</v>
      </c>
    </row>
    <row r="8" spans="1:8">
      <c r="A8" s="21" t="s">
        <v>55</v>
      </c>
      <c r="B8" s="21">
        <v>4</v>
      </c>
      <c r="C8" s="21">
        <v>8</v>
      </c>
      <c r="D8" s="21">
        <v>6</v>
      </c>
      <c r="E8" s="23">
        <f t="shared" si="0"/>
        <v>6</v>
      </c>
      <c r="F8" s="21" t="str">
        <f t="shared" si="1"/>
        <v>Aprobado</v>
      </c>
      <c r="H8" t="s">
        <v>73</v>
      </c>
    </row>
    <row r="9" spans="1:8">
      <c r="A9" s="21" t="s">
        <v>56</v>
      </c>
      <c r="B9" s="21">
        <v>6</v>
      </c>
      <c r="C9" s="21">
        <v>6.5</v>
      </c>
      <c r="D9" s="21">
        <v>8</v>
      </c>
      <c r="E9" s="23">
        <f t="shared" si="0"/>
        <v>6.833333333333333</v>
      </c>
      <c r="F9" s="21" t="str">
        <f t="shared" si="1"/>
        <v>Aprobado</v>
      </c>
      <c r="H9" t="s">
        <v>74</v>
      </c>
    </row>
    <row r="10" spans="1:8">
      <c r="A10" s="21" t="s">
        <v>57</v>
      </c>
      <c r="B10" s="21">
        <v>5</v>
      </c>
      <c r="C10" s="21">
        <v>4</v>
      </c>
      <c r="D10" s="21">
        <v>9</v>
      </c>
      <c r="E10" s="23">
        <f t="shared" si="0"/>
        <v>6</v>
      </c>
      <c r="F10" s="21" t="str">
        <f t="shared" si="1"/>
        <v>Aprobado</v>
      </c>
    </row>
    <row r="11" spans="1:8">
      <c r="A11" s="21" t="s">
        <v>58</v>
      </c>
      <c r="B11" s="21">
        <v>9.1</v>
      </c>
      <c r="C11" s="21">
        <v>7</v>
      </c>
      <c r="D11" s="21">
        <v>4</v>
      </c>
      <c r="E11" s="23">
        <f t="shared" si="0"/>
        <v>6.7</v>
      </c>
      <c r="F11" s="21" t="str">
        <f t="shared" si="1"/>
        <v>Aprobado</v>
      </c>
    </row>
    <row r="12" spans="1:8">
      <c r="A12" s="21" t="s">
        <v>59</v>
      </c>
      <c r="B12" s="21">
        <v>1</v>
      </c>
      <c r="C12" s="21">
        <v>6</v>
      </c>
      <c r="D12" s="21">
        <v>2.2999999999999998</v>
      </c>
      <c r="E12" s="23">
        <f t="shared" si="0"/>
        <v>3.1</v>
      </c>
      <c r="F12" s="21" t="str">
        <f t="shared" si="1"/>
        <v>Insuficiente</v>
      </c>
    </row>
    <row r="13" spans="1:8">
      <c r="A13" s="21" t="s">
        <v>60</v>
      </c>
      <c r="B13" s="21">
        <v>9</v>
      </c>
      <c r="C13" s="21">
        <v>10</v>
      </c>
      <c r="D13" s="21">
        <v>9</v>
      </c>
      <c r="E13" s="23">
        <f t="shared" si="0"/>
        <v>9.3333333333333339</v>
      </c>
      <c r="F13" s="21" t="str">
        <f t="shared" si="1"/>
        <v>Excelente</v>
      </c>
    </row>
    <row r="15" spans="1:8" ht="15">
      <c r="A15" s="34" t="s">
        <v>61</v>
      </c>
      <c r="B15" s="34"/>
    </row>
    <row r="16" spans="1:8" ht="15">
      <c r="A16" s="24" t="s">
        <v>62</v>
      </c>
      <c r="B16" s="21"/>
    </row>
    <row r="17" spans="1:6" ht="15">
      <c r="A17" s="24" t="s">
        <v>63</v>
      </c>
      <c r="B17" s="21"/>
      <c r="D17" s="24" t="s">
        <v>64</v>
      </c>
      <c r="E17" s="21"/>
    </row>
    <row r="18" spans="1:6" ht="15">
      <c r="A18" s="24" t="s">
        <v>65</v>
      </c>
      <c r="B18" s="21"/>
    </row>
    <row r="19" spans="1:6" ht="15">
      <c r="A19" s="24" t="s">
        <v>66</v>
      </c>
      <c r="B19" s="21"/>
    </row>
    <row r="21" spans="1:6" ht="15">
      <c r="B21" s="25"/>
      <c r="C21" s="26" t="s">
        <v>67</v>
      </c>
      <c r="D21" s="26" t="s">
        <v>68</v>
      </c>
      <c r="E21" s="27"/>
      <c r="F21" s="27"/>
    </row>
    <row r="22" spans="1:6" ht="15">
      <c r="A22" s="28">
        <v>0</v>
      </c>
      <c r="B22" s="29" t="s">
        <v>69</v>
      </c>
      <c r="C22" s="21"/>
      <c r="D22" s="30"/>
    </row>
    <row r="23" spans="1:6" ht="15">
      <c r="A23" s="28">
        <v>5</v>
      </c>
      <c r="B23" s="29" t="s">
        <v>70</v>
      </c>
      <c r="C23" s="21"/>
      <c r="D23" s="30"/>
    </row>
    <row r="24" spans="1:6" ht="15">
      <c r="A24" s="28">
        <v>7</v>
      </c>
      <c r="B24" s="29" t="s">
        <v>71</v>
      </c>
      <c r="C24" s="21"/>
      <c r="D24" s="30"/>
    </row>
    <row r="25" spans="1:6" ht="15">
      <c r="A25" s="28">
        <v>9</v>
      </c>
      <c r="B25" s="29" t="s">
        <v>72</v>
      </c>
      <c r="C25" s="21"/>
      <c r="D25" s="30"/>
    </row>
  </sheetData>
  <mergeCells count="2">
    <mergeCell ref="A1:F1"/>
    <mergeCell ref="A15:B1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1339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Estilo</vt:lpstr>
      <vt:lpstr>Iconos</vt:lpstr>
      <vt:lpstr>Formulas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Fanlo</dc:creator>
  <cp:lastModifiedBy>Windows User</cp:lastModifiedBy>
  <cp:revision>2</cp:revision>
  <dcterms:created xsi:type="dcterms:W3CDTF">2007-08-15T16:26:58Z</dcterms:created>
  <dcterms:modified xsi:type="dcterms:W3CDTF">2025-04-11T17:36:35Z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rmación 1">
    <vt:lpwstr/>
  </property>
  <property fmtid="{D5CDD505-2E9C-101B-9397-08002B2CF9AE}" pid="3" name="Información 2">
    <vt:lpwstr/>
  </property>
  <property fmtid="{D5CDD505-2E9C-101B-9397-08002B2CF9AE}" pid="4" name="Información 3">
    <vt:lpwstr/>
  </property>
  <property fmtid="{D5CDD505-2E9C-101B-9397-08002B2CF9AE}" pid="5" name="Información 4">
    <vt:lpwstr/>
  </property>
</Properties>
</file>