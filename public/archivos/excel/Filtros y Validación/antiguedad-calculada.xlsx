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04DE0E-4904-4A79-8712-42AB8423781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Estilo" sheetId="1" r:id="rId1"/>
    <sheet name="Iconos" sheetId="2" r:id="rId2"/>
    <sheet name="Formulas" sheetId="3" r:id="rId3"/>
    <sheet name="Formulas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4" l="1"/>
  <c r="B18" i="4"/>
  <c r="E17" i="4"/>
  <c r="B17" i="4"/>
  <c r="B16" i="4"/>
  <c r="E13" i="4"/>
  <c r="F13" i="4" s="1"/>
  <c r="F12" i="4"/>
  <c r="E12" i="4"/>
  <c r="E11" i="4"/>
  <c r="F11" i="4" s="1"/>
  <c r="F10" i="4"/>
  <c r="E10" i="4"/>
  <c r="E9" i="4"/>
  <c r="F9" i="4" s="1"/>
  <c r="F8" i="4"/>
  <c r="E8" i="4"/>
  <c r="E7" i="4"/>
  <c r="F7" i="4" s="1"/>
  <c r="F6" i="4"/>
  <c r="E6" i="4"/>
  <c r="E5" i="4"/>
  <c r="F5" i="4" s="1"/>
  <c r="F4" i="4"/>
  <c r="E4" i="4"/>
  <c r="F5" i="2"/>
  <c r="F6" i="2"/>
  <c r="F7" i="2"/>
  <c r="F8" i="2"/>
  <c r="F9" i="2"/>
  <c r="F10" i="2"/>
  <c r="F11" i="2"/>
  <c r="F12" i="2"/>
  <c r="F13" i="2"/>
  <c r="F4" i="2"/>
  <c r="D22" i="2"/>
  <c r="E22" i="2" s="1"/>
  <c r="F22" i="2" s="1"/>
  <c r="C22" i="2"/>
  <c r="D21" i="2"/>
  <c r="E21" i="2" s="1"/>
  <c r="F21" i="2" s="1"/>
  <c r="C21" i="2"/>
  <c r="D20" i="2"/>
  <c r="E20" i="2" s="1"/>
  <c r="F20" i="2" s="1"/>
  <c r="C20" i="2"/>
  <c r="D19" i="2"/>
  <c r="E19" i="2" s="1"/>
  <c r="F19" i="2" s="1"/>
  <c r="C19" i="2"/>
  <c r="E13" i="2"/>
  <c r="E12" i="2"/>
  <c r="E11" i="2"/>
  <c r="E10" i="2"/>
  <c r="E9" i="2"/>
  <c r="E8" i="2"/>
  <c r="E7" i="2"/>
  <c r="E6" i="2"/>
  <c r="E5" i="2"/>
  <c r="E4" i="2"/>
  <c r="E11" i="1"/>
  <c r="E10" i="1"/>
  <c r="E9" i="1"/>
  <c r="E8" i="1"/>
  <c r="E7" i="1"/>
  <c r="E6" i="1"/>
  <c r="E5" i="1"/>
  <c r="E4" i="1"/>
  <c r="C25" i="4" l="1"/>
  <c r="C22" i="4"/>
  <c r="C24" i="4"/>
  <c r="C23" i="4"/>
  <c r="D23" i="4" s="1"/>
  <c r="D24" i="4" l="1"/>
  <c r="D22" i="4"/>
  <c r="D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</author>
  </authors>
  <commentList>
    <comment ref="A18" authorId="0" shapeId="0" xr:uid="{9ACF352C-136D-4EA1-B788-D2F404F7E032}">
      <text>
        <r>
          <rPr>
            <sz val="10"/>
            <color theme="1"/>
            <rFont val="Liberation Sans"/>
          </rPr>
          <t xml:space="preserve">Se trata de la función </t>
        </r>
        <r>
          <rPr>
            <b/>
            <sz val="10"/>
            <color theme="1"/>
            <rFont val="Liberation Sans"/>
          </rPr>
          <t>MODA</t>
        </r>
        <r>
          <rPr>
            <sz val="10"/>
            <color theme="1"/>
            <rFont val="Liberation Sans"/>
          </rPr>
          <t>.</t>
        </r>
      </text>
    </comment>
    <comment ref="A19" authorId="0" shapeId="0" xr:uid="{14DE6A54-6B4B-4762-A598-28C6427F6AA2}">
      <text>
        <r>
          <rPr>
            <sz val="10"/>
            <color theme="1"/>
            <rFont val="Liberation Sans"/>
          </rPr>
          <t xml:space="preserve">Se trata de la función </t>
        </r>
        <r>
          <rPr>
            <b/>
            <sz val="10"/>
            <color theme="1"/>
            <rFont val="Liberation Sans"/>
          </rPr>
          <t>MEDIANA</t>
        </r>
        <r>
          <rPr>
            <sz val="10"/>
            <color theme="1"/>
            <rFont val="Liberation Sans"/>
          </rPr>
          <t>.</t>
        </r>
      </text>
    </comment>
  </commentList>
</comments>
</file>

<file path=xl/sharedStrings.xml><?xml version="1.0" encoding="utf-8"?>
<sst xmlns="http://schemas.openxmlformats.org/spreadsheetml/2006/main" count="402" uniqueCount="96">
  <si>
    <t>Relación de facturas pendientes de cobro</t>
  </si>
  <si>
    <t>a fecha:</t>
  </si>
  <si>
    <t>Cliente</t>
  </si>
  <si>
    <t>Factura</t>
  </si>
  <si>
    <t>Importe</t>
  </si>
  <si>
    <t>Vencimiento</t>
  </si>
  <si>
    <t>Retraso días</t>
  </si>
  <si>
    <t>Carnicer Heras</t>
  </si>
  <si>
    <t>Alvarez Justo</t>
  </si>
  <si>
    <t>Arana Higueras</t>
  </si>
  <si>
    <t>Hidalgo Jimena</t>
  </si>
  <si>
    <t>Lopez Vara</t>
  </si>
  <si>
    <t>Martín Peña</t>
  </si>
  <si>
    <t>Sierra Garzón</t>
  </si>
  <si>
    <t>González Suevo</t>
  </si>
  <si>
    <t>se muestren en negrita y fondo rojo los importes superiores a 2000.</t>
  </si>
  <si>
    <t>se muestren en negrita y fondo azul los valores entre 31 y 60 días.</t>
  </si>
  <si>
    <t>se muestren en negrita y fondo naranja los valores entre 61 y 90 días.</t>
  </si>
  <si>
    <t>se muestren en negrita y fondo rojo los valores entre 61 y 90 días.</t>
  </si>
  <si>
    <t>Aplica un formato condicional al rango correspondiente al Importe (C4:C11) de manera que:</t>
  </si>
  <si>
    <t>Aplica un formato condicional al rango correspondiente a Retraso días (E4:E11) de manera que:</t>
  </si>
  <si>
    <t>Vendedor</t>
  </si>
  <si>
    <t>Zona</t>
  </si>
  <si>
    <t>Llamadas</t>
  </si>
  <si>
    <t>Visitas</t>
  </si>
  <si>
    <t>Eficacia</t>
  </si>
  <si>
    <t>Sí/No</t>
  </si>
  <si>
    <t>López</t>
  </si>
  <si>
    <t>sur</t>
  </si>
  <si>
    <t>Dieguez</t>
  </si>
  <si>
    <t>norte</t>
  </si>
  <si>
    <t>oeste</t>
  </si>
  <si>
    <t>Sastre</t>
  </si>
  <si>
    <t>este</t>
  </si>
  <si>
    <t>Eficaces</t>
  </si>
  <si>
    <t>No eficaces</t>
  </si>
  <si>
    <t>Umbral de eficacia:</t>
  </si>
  <si>
    <t>Valor mínimo: color Rojo 10.</t>
  </si>
  <si>
    <t>Valor medio: Percentil 50, color Cian 10.</t>
  </si>
  <si>
    <t>Valor máximo: color Turquesa 10.</t>
  </si>
  <si>
    <t>1. Modifica las fórmulas de la columna Sí/No (rango F4:F13) para que en vez de Sí o No, se muestre 1 o 0.</t>
  </si>
  <si>
    <t>2. Aplica a la columna  Sí/No (rango F4:F13) un formato condicional de iconos estilo Luces de semáforo1 que muestre un semáforo verde para los vendedores eficaces y un semáforo rojo para los no eficaces.</t>
  </si>
  <si>
    <t>3. Aplica a la columna Llamadas (rango C4:C13) un formato condicional de escala de color de tres entradas, configuradas como sigue:</t>
  </si>
  <si>
    <t>4. Aplica a la columna Visitas (rango D4:D13) un formato condicional de barra de datos color Rosado 8.</t>
  </si>
  <si>
    <t>Fecha</t>
  </si>
  <si>
    <t>Fruta</t>
  </si>
  <si>
    <t>Andújar Baena, Manuel</t>
  </si>
  <si>
    <t>Andalucía</t>
  </si>
  <si>
    <t>Chirimoya</t>
  </si>
  <si>
    <t>Piña</t>
  </si>
  <si>
    <t>Nadal Más, Jordi</t>
  </si>
  <si>
    <t>Levante</t>
  </si>
  <si>
    <t>Kiwi</t>
  </si>
  <si>
    <t>Carmona Martín, José</t>
  </si>
  <si>
    <t>Aguacate</t>
  </si>
  <si>
    <t>Fernández Toledo, Juan</t>
  </si>
  <si>
    <t>Centro</t>
  </si>
  <si>
    <t>Mango</t>
  </si>
  <si>
    <t>Bosch Pons, Montserrat</t>
  </si>
  <si>
    <t>Lasa Arbeloa, Ignacio</t>
  </si>
  <si>
    <t>Norte</t>
  </si>
  <si>
    <t>Zabaleta Urzaiz, Pedro</t>
  </si>
  <si>
    <t>Álvarez Serrano, Felipe</t>
  </si>
  <si>
    <t>Gil Montes, Paloma</t>
  </si>
  <si>
    <t>Papaya</t>
  </si>
  <si>
    <t>NOTAS ALUMNOS</t>
  </si>
  <si>
    <t>Nombre alumno</t>
  </si>
  <si>
    <t>Trim 1</t>
  </si>
  <si>
    <t>Trim 2</t>
  </si>
  <si>
    <t>Trim 3</t>
  </si>
  <si>
    <t>Nota</t>
  </si>
  <si>
    <t>Evaluación</t>
  </si>
  <si>
    <t>Mariano Pérez</t>
  </si>
  <si>
    <t>Susana Díaz</t>
  </si>
  <si>
    <t>Margarita Soler</t>
  </si>
  <si>
    <t>Montse Abril</t>
  </si>
  <si>
    <t>Joan Cisa</t>
  </si>
  <si>
    <t>Jose Sánchez</t>
  </si>
  <si>
    <t>Albert Català</t>
  </si>
  <si>
    <t>Robert Amic</t>
  </si>
  <si>
    <t>Anna Torres</t>
  </si>
  <si>
    <t>Javier García</t>
  </si>
  <si>
    <t>Referido a las notas trimestrales:</t>
  </si>
  <si>
    <t>Nota máxima</t>
  </si>
  <si>
    <t>Nota mínima</t>
  </si>
  <si>
    <t>nº alumnos</t>
  </si>
  <si>
    <t>Nota más repetida</t>
  </si>
  <si>
    <t>Mediana de notas</t>
  </si>
  <si>
    <t>Número</t>
  </si>
  <si>
    <t>%</t>
  </si>
  <si>
    <t>Insuficiente</t>
  </si>
  <si>
    <t>Aprobado</t>
  </si>
  <si>
    <t>Notable</t>
  </si>
  <si>
    <t>Excelente</t>
  </si>
  <si>
    <t>1. Establece un formato condicional que asigne fuente negrita y fondo de color Rojo 9 a todas las celdas de las filas con alumnos con calificación Insuficiente.</t>
  </si>
  <si>
    <t>2. Establece un formato condicional que asigne fuente negrita y fondo de color Verde 9 a todas las celdas de las filas con alumnos con calificación Excelente.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</si>
</sst>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#,##0.00&quot; &quot;[$€-C0A];[Red]&quot;-&quot;#,##0.00&quot; &quot;[$€-C0A]"/>
    <numFmt numFmtId="170" formatCode="0.0%"/>
    <numFmt numFmtId="171" formatCode="dd/mm/yy"/>
  </numFmts>
  <fonts count="13">
    <font>
      <sz val="11"/>
      <color theme="1"/>
      <name val="Arial1"/>
      <family val="2"/>
    </font>
    <font>
      <b/>
      <i/>
      <sz val="16"/>
      <color theme="1"/>
      <name val="Arial1"/>
      <family val="2"/>
    </font>
    <font>
      <b/>
      <i/>
      <u/>
      <sz val="11"/>
      <color theme="1"/>
      <name val="Arial1"/>
      <family val="2"/>
    </font>
    <font>
      <b/>
      <sz val="10"/>
      <color theme="1"/>
      <name val="Arial1"/>
    </font>
    <font>
      <sz val="10"/>
      <color theme="1"/>
      <name val="Arial1"/>
    </font>
    <font>
      <b/>
      <sz val="11"/>
      <color theme="1"/>
      <name val="Arial1"/>
      <family val="2"/>
    </font>
    <font>
      <sz val="14"/>
      <color theme="1"/>
      <name val="Arial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1"/>
    </font>
    <font>
      <b/>
      <sz val="11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</fonts>
  <fills count="7">
    <fill>
      <patternFill patternType="none"/>
    </fill>
    <fill>
      <patternFill patternType="gray125"/>
    </fill>
    <fill>
      <patternFill patternType="solid">
        <fgColor rgb="FFCCFF99"/>
        <bgColor rgb="FFCCFF99"/>
      </patternFill>
    </fill>
    <fill>
      <patternFill patternType="solid">
        <fgColor rgb="FFCCFFFF"/>
        <bgColor rgb="FFCCFFFF"/>
      </patternFill>
    </fill>
    <fill>
      <patternFill patternType="solid">
        <fgColor rgb="FFFFCCCC"/>
        <bgColor rgb="FFFFCCCC"/>
      </patternFill>
    </fill>
    <fill>
      <patternFill patternType="solid">
        <fgColor rgb="FFCFE7F5"/>
        <bgColor rgb="FFCFE7F5"/>
      </patternFill>
    </fill>
    <fill>
      <patternFill patternType="solid">
        <fgColor rgb="FFE6E6FF"/>
        <bgColor rgb="FFE6E6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5" fontId="2" fillId="0" borderId="0"/>
    <xf numFmtId="9" fontId="8" fillId="0" borderId="0"/>
  </cellStyleXfs>
  <cellXfs count="40">
    <xf numFmtId="0" fontId="0" fillId="0" borderId="0" xfId="0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164" fontId="4" fillId="0" borderId="0" xfId="0" applyNumberFormat="1" applyFont="1" applyBorder="1"/>
    <xf numFmtId="0" fontId="3" fillId="0" borderId="0" xfId="0" applyFont="1" applyFill="1" applyBorder="1"/>
    <xf numFmtId="0" fontId="3" fillId="0" borderId="0" xfId="0" applyFont="1" applyBorder="1"/>
    <xf numFmtId="165" fontId="3" fillId="0" borderId="0" xfId="0" applyNumberFormat="1" applyFont="1" applyBorder="1"/>
    <xf numFmtId="0" fontId="6" fillId="0" borderId="0" xfId="0" applyFont="1" applyBorder="1"/>
    <xf numFmtId="0" fontId="7" fillId="0" borderId="1" xfId="0" applyFont="1" applyBorder="1" applyAlignment="1">
      <alignment horizontal="left" vertical="center"/>
    </xf>
    <xf numFmtId="10" fontId="0" fillId="0" borderId="1" xfId="0" applyNumberForma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17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71" fontId="0" fillId="0" borderId="0" xfId="0" applyNumberFormat="1"/>
    <xf numFmtId="165" fontId="0" fillId="0" borderId="0" xfId="0" applyNumberFormat="1"/>
    <xf numFmtId="0" fontId="10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2" fontId="0" fillId="0" borderId="1" xfId="0" applyNumberFormat="1" applyBorder="1"/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/>
    <xf numFmtId="0" fontId="10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0" fillId="6" borderId="1" xfId="0" applyFill="1" applyBorder="1"/>
    <xf numFmtId="9" fontId="8" fillId="0" borderId="1" xfId="5" applyBorder="1"/>
  </cellXfs>
  <cellStyles count="6">
    <cellStyle name="Excel_BuiltIn_Percent" xfId="5" xr:uid="{3EF28359-A0B3-4EEE-AA68-F5720F61EE47}"/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12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i/>
      </font>
      <fill>
        <patternFill>
          <bgColor rgb="FFFFC000"/>
        </patternFill>
      </fill>
    </dxf>
    <dxf>
      <font>
        <b val="0"/>
        <i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BD6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2"/>
  <sheetViews>
    <sheetView workbookViewId="0">
      <selection activeCell="A22" sqref="A22"/>
    </sheetView>
  </sheetViews>
  <sheetFormatPr baseColWidth="10" defaultRowHeight="13.8"/>
  <cols>
    <col min="1" max="1" width="24.796875" style="3" customWidth="1"/>
    <col min="2" max="2" width="11.8984375" style="3" customWidth="1"/>
    <col min="3" max="3" width="12.796875" style="3" customWidth="1"/>
    <col min="4" max="4" width="12" style="3" customWidth="1"/>
    <col min="5" max="5" width="10.3984375" style="3" customWidth="1"/>
    <col min="6" max="6" width="10" style="3" customWidth="1"/>
    <col min="7" max="256" width="8.5" style="3" customWidth="1"/>
    <col min="257" max="1024" width="10.69921875" customWidth="1"/>
  </cols>
  <sheetData>
    <row r="1" spans="1:256">
      <c r="A1" s="12" t="s">
        <v>0</v>
      </c>
      <c r="B1" s="12"/>
      <c r="C1" s="12"/>
      <c r="D1" s="1" t="s">
        <v>1</v>
      </c>
      <c r="E1" s="2">
        <v>39278</v>
      </c>
    </row>
    <row r="3" spans="1:256" s="7" customFormat="1" ht="26.4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spans="1:256">
      <c r="A4" s="8" t="s">
        <v>7</v>
      </c>
      <c r="B4" s="1">
        <v>197</v>
      </c>
      <c r="C4" s="1">
        <v>9908</v>
      </c>
      <c r="D4" s="9">
        <v>39247</v>
      </c>
      <c r="E4" s="10">
        <f t="shared" ref="E4:E11" si="0">$E$1-D4</f>
        <v>31</v>
      </c>
    </row>
    <row r="5" spans="1:256">
      <c r="A5" s="8" t="s">
        <v>8</v>
      </c>
      <c r="B5" s="1">
        <v>188</v>
      </c>
      <c r="C5" s="1">
        <v>11779</v>
      </c>
      <c r="D5" s="9">
        <v>39188</v>
      </c>
      <c r="E5" s="10">
        <f t="shared" si="0"/>
        <v>90</v>
      </c>
    </row>
    <row r="6" spans="1:256">
      <c r="A6" s="8" t="s">
        <v>9</v>
      </c>
      <c r="B6" s="1">
        <v>205</v>
      </c>
      <c r="C6" s="1">
        <v>7719</v>
      </c>
      <c r="D6" s="9">
        <v>39256</v>
      </c>
      <c r="E6" s="10">
        <f t="shared" si="0"/>
        <v>22</v>
      </c>
    </row>
    <row r="7" spans="1:256">
      <c r="A7" s="8" t="s">
        <v>10</v>
      </c>
      <c r="B7" s="1">
        <v>197</v>
      </c>
      <c r="C7" s="1">
        <v>11412</v>
      </c>
      <c r="D7" s="9">
        <v>39176</v>
      </c>
      <c r="E7" s="10">
        <f t="shared" si="0"/>
        <v>102</v>
      </c>
    </row>
    <row r="8" spans="1:256">
      <c r="A8" s="8" t="s">
        <v>11</v>
      </c>
      <c r="B8" s="1">
        <v>157</v>
      </c>
      <c r="C8" s="1">
        <v>639</v>
      </c>
      <c r="D8" s="9">
        <v>39137</v>
      </c>
      <c r="E8" s="10">
        <f t="shared" si="0"/>
        <v>141</v>
      </c>
    </row>
    <row r="9" spans="1:256">
      <c r="A9" s="8" t="s">
        <v>12</v>
      </c>
      <c r="B9" s="1">
        <v>204</v>
      </c>
      <c r="C9" s="1">
        <v>1064</v>
      </c>
      <c r="D9" s="9">
        <v>39208</v>
      </c>
      <c r="E9" s="10">
        <f t="shared" si="0"/>
        <v>70</v>
      </c>
    </row>
    <row r="10" spans="1:256">
      <c r="A10" s="8" t="s">
        <v>13</v>
      </c>
      <c r="B10" s="1">
        <v>229</v>
      </c>
      <c r="C10" s="1">
        <v>1436</v>
      </c>
      <c r="D10" s="9">
        <v>39195</v>
      </c>
      <c r="E10" s="10">
        <f t="shared" si="0"/>
        <v>83</v>
      </c>
    </row>
    <row r="11" spans="1:256">
      <c r="A11" s="8" t="s">
        <v>14</v>
      </c>
      <c r="B11" s="1">
        <v>205</v>
      </c>
      <c r="C11" s="1">
        <v>2972</v>
      </c>
      <c r="D11" s="9">
        <v>39257</v>
      </c>
      <c r="E11" s="10">
        <f t="shared" si="0"/>
        <v>21</v>
      </c>
    </row>
    <row r="14" spans="1:256">
      <c r="D14" s="11"/>
    </row>
    <row r="15" spans="1:256" ht="17.399999999999999">
      <c r="A15" s="15" t="s">
        <v>19</v>
      </c>
      <c r="B15" s="14"/>
      <c r="D15" s="11"/>
    </row>
    <row r="16" spans="1:256" ht="17.399999999999999">
      <c r="A16" s="15" t="s">
        <v>15</v>
      </c>
      <c r="B16" s="13"/>
      <c r="D16" s="11"/>
    </row>
    <row r="17" spans="1:4">
      <c r="D17" s="11"/>
    </row>
    <row r="18" spans="1:4" ht="17.399999999999999">
      <c r="A18" s="15" t="s">
        <v>20</v>
      </c>
      <c r="D18" s="11"/>
    </row>
    <row r="19" spans="1:4" ht="17.399999999999999">
      <c r="A19" s="15" t="s">
        <v>16</v>
      </c>
      <c r="D19" s="11"/>
    </row>
    <row r="20" spans="1:4" ht="17.399999999999999">
      <c r="A20" s="15" t="s">
        <v>17</v>
      </c>
      <c r="D20" s="11"/>
    </row>
    <row r="21" spans="1:4" ht="17.399999999999999">
      <c r="A21" s="15" t="s">
        <v>18</v>
      </c>
      <c r="D21" s="11"/>
    </row>
    <row r="22" spans="1:4">
      <c r="D22" s="11"/>
    </row>
  </sheetData>
  <mergeCells count="1">
    <mergeCell ref="A1:C1"/>
  </mergeCells>
  <pageMargins left="0.74803149606299213" right="0.74803149606299213" top="1.2795275590551181" bottom="1.2795275590551181" header="0.98385826771653528" footer="0.98385826771653528"/>
  <pageSetup fitToWidth="0" fitToHeight="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A4" sqref="A4"/>
    </sheetView>
  </sheetViews>
  <sheetFormatPr baseColWidth="10" defaultRowHeight="13.8"/>
  <cols>
    <col min="1" max="7" width="8.3984375" customWidth="1"/>
    <col min="8" max="8" width="169.5" bestFit="1" customWidth="1"/>
    <col min="9" max="256" width="8.3984375" customWidth="1"/>
  </cols>
  <sheetData>
    <row r="1" spans="1:8">
      <c r="A1" s="16" t="s">
        <v>36</v>
      </c>
      <c r="B1" s="16"/>
      <c r="C1" s="17">
        <v>0.4</v>
      </c>
    </row>
    <row r="3" spans="1:8">
      <c r="A3" s="18" t="s">
        <v>21</v>
      </c>
      <c r="B3" s="18" t="s">
        <v>22</v>
      </c>
      <c r="C3" s="18" t="s">
        <v>23</v>
      </c>
      <c r="D3" s="18" t="s">
        <v>24</v>
      </c>
      <c r="E3" s="18" t="s">
        <v>25</v>
      </c>
      <c r="F3" s="18" t="s">
        <v>26</v>
      </c>
    </row>
    <row r="4" spans="1:8">
      <c r="A4" s="19" t="s">
        <v>27</v>
      </c>
      <c r="B4" s="20" t="s">
        <v>28</v>
      </c>
      <c r="C4" s="20">
        <v>7</v>
      </c>
      <c r="D4" s="20">
        <v>1</v>
      </c>
      <c r="E4" s="21">
        <f t="shared" ref="E4:E13" si="0">D4/C4</f>
        <v>0.14285714285714285</v>
      </c>
      <c r="F4" s="20" t="str">
        <f>IF(E4&gt;=$C$1,"si","no")</f>
        <v>no</v>
      </c>
      <c r="H4" t="s">
        <v>40</v>
      </c>
    </row>
    <row r="5" spans="1:8">
      <c r="A5" s="19" t="s">
        <v>29</v>
      </c>
      <c r="B5" s="20" t="s">
        <v>30</v>
      </c>
      <c r="C5" s="20">
        <v>9</v>
      </c>
      <c r="D5" s="20">
        <v>1</v>
      </c>
      <c r="E5" s="21">
        <f t="shared" si="0"/>
        <v>0.1111111111111111</v>
      </c>
      <c r="F5" s="20" t="str">
        <f t="shared" ref="F5:F13" si="1">IF(E5&gt;=$C$1,"si","no")</f>
        <v>no</v>
      </c>
      <c r="H5" t="s">
        <v>41</v>
      </c>
    </row>
    <row r="6" spans="1:8">
      <c r="A6" s="19" t="s">
        <v>27</v>
      </c>
      <c r="B6" s="20" t="s">
        <v>31</v>
      </c>
      <c r="C6" s="20">
        <v>12</v>
      </c>
      <c r="D6" s="20">
        <v>2</v>
      </c>
      <c r="E6" s="21">
        <f t="shared" si="0"/>
        <v>0.16666666666666666</v>
      </c>
      <c r="F6" s="20" t="str">
        <f t="shared" si="1"/>
        <v>no</v>
      </c>
      <c r="H6" t="s">
        <v>42</v>
      </c>
    </row>
    <row r="7" spans="1:8">
      <c r="A7" s="19" t="s">
        <v>29</v>
      </c>
      <c r="B7" s="20" t="s">
        <v>28</v>
      </c>
      <c r="C7" s="20">
        <v>15</v>
      </c>
      <c r="D7" s="20">
        <v>4</v>
      </c>
      <c r="E7" s="21">
        <f t="shared" si="0"/>
        <v>0.26666666666666666</v>
      </c>
      <c r="F7" s="20" t="str">
        <f t="shared" si="1"/>
        <v>no</v>
      </c>
      <c r="H7" t="s">
        <v>37</v>
      </c>
    </row>
    <row r="8" spans="1:8">
      <c r="A8" s="19" t="s">
        <v>32</v>
      </c>
      <c r="B8" s="20" t="s">
        <v>28</v>
      </c>
      <c r="C8" s="20">
        <v>16</v>
      </c>
      <c r="D8" s="20">
        <v>8</v>
      </c>
      <c r="E8" s="21">
        <f t="shared" si="0"/>
        <v>0.5</v>
      </c>
      <c r="F8" s="20" t="str">
        <f t="shared" si="1"/>
        <v>si</v>
      </c>
      <c r="H8" t="s">
        <v>38</v>
      </c>
    </row>
    <row r="9" spans="1:8">
      <c r="A9" s="19" t="s">
        <v>29</v>
      </c>
      <c r="B9" s="20" t="s">
        <v>33</v>
      </c>
      <c r="C9" s="20">
        <v>19</v>
      </c>
      <c r="D9" s="20">
        <v>6</v>
      </c>
      <c r="E9" s="21">
        <f t="shared" si="0"/>
        <v>0.31578947368421051</v>
      </c>
      <c r="F9" s="20" t="str">
        <f t="shared" si="1"/>
        <v>no</v>
      </c>
      <c r="H9" t="s">
        <v>39</v>
      </c>
    </row>
    <row r="10" spans="1:8">
      <c r="A10" s="19" t="s">
        <v>32</v>
      </c>
      <c r="B10" s="20" t="s">
        <v>31</v>
      </c>
      <c r="C10" s="20">
        <v>21</v>
      </c>
      <c r="D10" s="20">
        <v>9</v>
      </c>
      <c r="E10" s="21">
        <f t="shared" si="0"/>
        <v>0.42857142857142855</v>
      </c>
      <c r="F10" s="20" t="str">
        <f t="shared" si="1"/>
        <v>si</v>
      </c>
      <c r="H10" t="s">
        <v>43</v>
      </c>
    </row>
    <row r="11" spans="1:8">
      <c r="A11" s="19" t="s">
        <v>32</v>
      </c>
      <c r="B11" s="20" t="s">
        <v>33</v>
      </c>
      <c r="C11" s="20">
        <v>25</v>
      </c>
      <c r="D11" s="20">
        <v>10</v>
      </c>
      <c r="E11" s="21">
        <f t="shared" si="0"/>
        <v>0.4</v>
      </c>
      <c r="F11" s="20" t="str">
        <f t="shared" si="1"/>
        <v>si</v>
      </c>
    </row>
    <row r="12" spans="1:8">
      <c r="A12" s="19" t="s">
        <v>27</v>
      </c>
      <c r="B12" s="20" t="s">
        <v>30</v>
      </c>
      <c r="C12" s="20">
        <v>34</v>
      </c>
      <c r="D12" s="20">
        <v>15</v>
      </c>
      <c r="E12" s="21">
        <f t="shared" si="0"/>
        <v>0.44117647058823528</v>
      </c>
      <c r="F12" s="20" t="str">
        <f t="shared" si="1"/>
        <v>si</v>
      </c>
    </row>
    <row r="13" spans="1:8">
      <c r="A13" s="19" t="s">
        <v>32</v>
      </c>
      <c r="B13" s="20" t="s">
        <v>30</v>
      </c>
      <c r="C13" s="20">
        <v>60</v>
      </c>
      <c r="D13" s="20">
        <v>13</v>
      </c>
      <c r="E13" s="21">
        <f t="shared" si="0"/>
        <v>0.21666666666666667</v>
      </c>
      <c r="F13" s="20" t="str">
        <f t="shared" si="1"/>
        <v>no</v>
      </c>
    </row>
    <row r="14" spans="1:8">
      <c r="E14" s="22" t="s">
        <v>34</v>
      </c>
      <c r="F14" s="20"/>
    </row>
    <row r="15" spans="1:8">
      <c r="E15" s="22" t="s">
        <v>35</v>
      </c>
      <c r="F15" s="20"/>
    </row>
    <row r="18" spans="2:6">
      <c r="B18" s="18" t="s">
        <v>22</v>
      </c>
      <c r="C18" s="18" t="s">
        <v>23</v>
      </c>
      <c r="D18" s="18" t="s">
        <v>24</v>
      </c>
      <c r="E18" s="18" t="s">
        <v>25</v>
      </c>
      <c r="F18" s="18" t="s">
        <v>26</v>
      </c>
    </row>
    <row r="19" spans="2:6">
      <c r="B19" s="23" t="s">
        <v>30</v>
      </c>
      <c r="C19" s="23">
        <f t="shared" ref="C19:D22" si="2">SUMIF($B$4:$B$13,$B19,C$4:C$13)</f>
        <v>103</v>
      </c>
      <c r="D19" s="23">
        <f t="shared" si="2"/>
        <v>29</v>
      </c>
      <c r="E19" s="21">
        <f>D19/C19</f>
        <v>0.28155339805825241</v>
      </c>
      <c r="F19" s="20" t="str">
        <f>IF(E19&gt;=$C$1,"Sí","No")</f>
        <v>No</v>
      </c>
    </row>
    <row r="20" spans="2:6">
      <c r="B20" s="23" t="s">
        <v>28</v>
      </c>
      <c r="C20" s="23">
        <f t="shared" si="2"/>
        <v>38</v>
      </c>
      <c r="D20" s="23">
        <f t="shared" si="2"/>
        <v>13</v>
      </c>
      <c r="E20" s="21">
        <f>D20/C20</f>
        <v>0.34210526315789475</v>
      </c>
      <c r="F20" s="20" t="str">
        <f>IF(E20&gt;=$C$1,"Sí","No")</f>
        <v>No</v>
      </c>
    </row>
    <row r="21" spans="2:6">
      <c r="B21" s="23" t="s">
        <v>33</v>
      </c>
      <c r="C21" s="23">
        <f t="shared" si="2"/>
        <v>44</v>
      </c>
      <c r="D21" s="23">
        <f t="shared" si="2"/>
        <v>16</v>
      </c>
      <c r="E21" s="21">
        <f>D21/C21</f>
        <v>0.36363636363636365</v>
      </c>
      <c r="F21" s="20" t="str">
        <f>IF(E21&gt;=$C$1,"Sí","No")</f>
        <v>No</v>
      </c>
    </row>
    <row r="22" spans="2:6">
      <c r="B22" s="23" t="s">
        <v>31</v>
      </c>
      <c r="C22" s="23">
        <f t="shared" si="2"/>
        <v>33</v>
      </c>
      <c r="D22" s="23">
        <f t="shared" si="2"/>
        <v>11</v>
      </c>
      <c r="E22" s="21">
        <f>D22/C22</f>
        <v>0.33333333333333331</v>
      </c>
      <c r="F22" s="20" t="str">
        <f>IF(E22&gt;=$C$1,"Sí","No")</f>
        <v>No</v>
      </c>
    </row>
  </sheetData>
  <mergeCells count="1">
    <mergeCell ref="A1:B1"/>
  </mergeCells>
  <pageMargins left="0.74803149606299213" right="0.74803149606299213" top="1.2795275590551181" bottom="1.2795275590551181" header="0.98385826771653528" footer="0.98385826771653528"/>
  <pageSetup paperSize="0" fitToWidth="0" fitToHeight="0" pageOrder="overThenDown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tabSelected="1" workbookViewId="0">
      <selection activeCell="E4" sqref="E4"/>
    </sheetView>
  </sheetViews>
  <sheetFormatPr baseColWidth="10" defaultRowHeight="13.8"/>
  <cols>
    <col min="1" max="4" width="8.3984375" customWidth="1"/>
    <col min="5" max="5" width="9.3984375" bestFit="1" customWidth="1"/>
    <col min="6" max="256" width="8.3984375" customWidth="1"/>
  </cols>
  <sheetData>
    <row r="1" spans="1:5">
      <c r="A1" s="24" t="s">
        <v>44</v>
      </c>
      <c r="B1" s="25" t="s">
        <v>21</v>
      </c>
      <c r="C1" s="25" t="s">
        <v>22</v>
      </c>
      <c r="D1" s="25" t="s">
        <v>45</v>
      </c>
      <c r="E1" s="26" t="s">
        <v>4</v>
      </c>
    </row>
    <row r="2" spans="1:5">
      <c r="A2" s="27">
        <v>41278</v>
      </c>
      <c r="B2" t="s">
        <v>46</v>
      </c>
      <c r="C2" t="s">
        <v>47</v>
      </c>
      <c r="D2" t="s">
        <v>48</v>
      </c>
      <c r="E2" s="28">
        <v>4800.2299999999996</v>
      </c>
    </row>
    <row r="3" spans="1:5">
      <c r="A3" s="27">
        <v>41285</v>
      </c>
      <c r="B3" t="s">
        <v>46</v>
      </c>
      <c r="C3" t="s">
        <v>47</v>
      </c>
      <c r="D3" t="s">
        <v>49</v>
      </c>
      <c r="E3" s="28">
        <v>4130.13</v>
      </c>
    </row>
    <row r="4" spans="1:5">
      <c r="A4" s="27">
        <v>41293</v>
      </c>
      <c r="B4" t="s">
        <v>50</v>
      </c>
      <c r="C4" t="s">
        <v>51</v>
      </c>
      <c r="D4" t="s">
        <v>52</v>
      </c>
      <c r="E4" s="28">
        <v>3071.62</v>
      </c>
    </row>
    <row r="5" spans="1:5">
      <c r="A5" s="27">
        <v>41300</v>
      </c>
      <c r="B5" t="s">
        <v>50</v>
      </c>
      <c r="C5" t="s">
        <v>51</v>
      </c>
      <c r="D5" t="s">
        <v>52</v>
      </c>
      <c r="E5" s="28">
        <v>2453.39</v>
      </c>
    </row>
    <row r="6" spans="1:5">
      <c r="A6" s="27">
        <v>41301</v>
      </c>
      <c r="B6" t="s">
        <v>46</v>
      </c>
      <c r="C6" t="s">
        <v>47</v>
      </c>
      <c r="D6" t="s">
        <v>49</v>
      </c>
      <c r="E6" s="28">
        <v>862.69</v>
      </c>
    </row>
    <row r="7" spans="1:5">
      <c r="A7" s="27">
        <v>41301</v>
      </c>
      <c r="B7" t="s">
        <v>53</v>
      </c>
      <c r="C7" t="s">
        <v>47</v>
      </c>
      <c r="D7" t="s">
        <v>54</v>
      </c>
      <c r="E7" s="28">
        <v>3552.61</v>
      </c>
    </row>
    <row r="8" spans="1:5">
      <c r="A8" s="27">
        <v>41306</v>
      </c>
      <c r="B8" t="s">
        <v>46</v>
      </c>
      <c r="C8" t="s">
        <v>47</v>
      </c>
      <c r="D8" t="s">
        <v>54</v>
      </c>
      <c r="E8" s="28">
        <v>250.58</v>
      </c>
    </row>
    <row r="9" spans="1:5">
      <c r="A9" s="27">
        <v>41307</v>
      </c>
      <c r="B9" t="s">
        <v>55</v>
      </c>
      <c r="C9" t="s">
        <v>56</v>
      </c>
      <c r="D9" t="s">
        <v>49</v>
      </c>
      <c r="E9" s="28">
        <v>2099.08</v>
      </c>
    </row>
    <row r="10" spans="1:5">
      <c r="A10" s="27">
        <v>41308</v>
      </c>
      <c r="B10" t="s">
        <v>50</v>
      </c>
      <c r="C10" t="s">
        <v>51</v>
      </c>
      <c r="D10" t="s">
        <v>52</v>
      </c>
      <c r="E10" s="28">
        <v>4961.7700000000004</v>
      </c>
    </row>
    <row r="11" spans="1:5">
      <c r="A11" s="27">
        <v>41308</v>
      </c>
      <c r="B11" t="s">
        <v>55</v>
      </c>
      <c r="C11" t="s">
        <v>56</v>
      </c>
      <c r="D11" t="s">
        <v>57</v>
      </c>
      <c r="E11" s="28">
        <v>614.82000000000005</v>
      </c>
    </row>
    <row r="12" spans="1:5">
      <c r="A12" s="27">
        <v>41313</v>
      </c>
      <c r="B12" t="s">
        <v>58</v>
      </c>
      <c r="C12" t="s">
        <v>51</v>
      </c>
      <c r="D12" t="s">
        <v>48</v>
      </c>
      <c r="E12" s="28">
        <v>4300.7299999999996</v>
      </c>
    </row>
    <row r="13" spans="1:5">
      <c r="A13" s="27">
        <v>41313</v>
      </c>
      <c r="B13" t="s">
        <v>50</v>
      </c>
      <c r="C13" t="s">
        <v>51</v>
      </c>
      <c r="D13" t="s">
        <v>54</v>
      </c>
      <c r="E13" s="28">
        <v>1734.53</v>
      </c>
    </row>
    <row r="14" spans="1:5">
      <c r="A14" s="27">
        <v>41320</v>
      </c>
      <c r="B14" t="s">
        <v>46</v>
      </c>
      <c r="C14" t="s">
        <v>47</v>
      </c>
      <c r="D14" t="s">
        <v>49</v>
      </c>
      <c r="E14" s="28">
        <v>951.45</v>
      </c>
    </row>
    <row r="15" spans="1:5">
      <c r="A15" s="27">
        <v>41320</v>
      </c>
      <c r="B15" t="s">
        <v>59</v>
      </c>
      <c r="C15" t="s">
        <v>60</v>
      </c>
      <c r="D15" t="s">
        <v>52</v>
      </c>
      <c r="E15" s="28">
        <v>4815.13</v>
      </c>
    </row>
    <row r="16" spans="1:5">
      <c r="A16" s="27">
        <v>41322</v>
      </c>
      <c r="B16" t="s">
        <v>50</v>
      </c>
      <c r="C16" t="s">
        <v>51</v>
      </c>
      <c r="D16" t="s">
        <v>52</v>
      </c>
      <c r="E16" s="28">
        <v>453.17</v>
      </c>
    </row>
    <row r="17" spans="1:5">
      <c r="A17" s="27">
        <v>41327</v>
      </c>
      <c r="B17" t="s">
        <v>46</v>
      </c>
      <c r="C17" t="s">
        <v>47</v>
      </c>
      <c r="D17" t="s">
        <v>49</v>
      </c>
      <c r="E17" s="28">
        <v>1715.76</v>
      </c>
    </row>
    <row r="18" spans="1:5">
      <c r="A18" s="27">
        <v>41327</v>
      </c>
      <c r="B18" t="s">
        <v>50</v>
      </c>
      <c r="C18" t="s">
        <v>51</v>
      </c>
      <c r="D18" t="s">
        <v>48</v>
      </c>
      <c r="E18" s="28">
        <v>1620.76</v>
      </c>
    </row>
    <row r="19" spans="1:5">
      <c r="A19" s="27">
        <v>41327</v>
      </c>
      <c r="B19" t="s">
        <v>59</v>
      </c>
      <c r="C19" t="s">
        <v>60</v>
      </c>
      <c r="D19" t="s">
        <v>52</v>
      </c>
      <c r="E19" s="28">
        <v>3598.57</v>
      </c>
    </row>
    <row r="20" spans="1:5">
      <c r="A20" s="27">
        <v>41328</v>
      </c>
      <c r="B20" t="s">
        <v>50</v>
      </c>
      <c r="C20" t="s">
        <v>51</v>
      </c>
      <c r="D20" t="s">
        <v>49</v>
      </c>
      <c r="E20" s="28">
        <v>2651.51</v>
      </c>
    </row>
    <row r="21" spans="1:5">
      <c r="A21" s="27">
        <v>41336</v>
      </c>
      <c r="B21" t="s">
        <v>50</v>
      </c>
      <c r="C21" t="s">
        <v>51</v>
      </c>
      <c r="D21" t="s">
        <v>49</v>
      </c>
      <c r="E21" s="28">
        <v>1560.81</v>
      </c>
    </row>
    <row r="22" spans="1:5">
      <c r="A22" s="27">
        <v>41341</v>
      </c>
      <c r="B22" t="s">
        <v>58</v>
      </c>
      <c r="C22" t="s">
        <v>51</v>
      </c>
      <c r="D22" t="s">
        <v>48</v>
      </c>
      <c r="E22" s="28">
        <v>4807.1499999999996</v>
      </c>
    </row>
    <row r="23" spans="1:5">
      <c r="A23" s="27">
        <v>41341</v>
      </c>
      <c r="B23" t="s">
        <v>50</v>
      </c>
      <c r="C23" t="s">
        <v>51</v>
      </c>
      <c r="D23" t="s">
        <v>52</v>
      </c>
      <c r="E23" s="28">
        <v>2105.2199999999998</v>
      </c>
    </row>
    <row r="24" spans="1:5">
      <c r="A24" s="27">
        <v>41342</v>
      </c>
      <c r="B24" t="s">
        <v>59</v>
      </c>
      <c r="C24" t="s">
        <v>60</v>
      </c>
      <c r="D24" t="s">
        <v>52</v>
      </c>
      <c r="E24" s="28">
        <v>1507.06</v>
      </c>
    </row>
    <row r="25" spans="1:5">
      <c r="A25" s="27">
        <v>41349</v>
      </c>
      <c r="B25" t="s">
        <v>61</v>
      </c>
      <c r="C25" t="s">
        <v>60</v>
      </c>
      <c r="D25" t="s">
        <v>52</v>
      </c>
      <c r="E25" s="28">
        <v>1969.47</v>
      </c>
    </row>
    <row r="26" spans="1:5">
      <c r="A26" s="27">
        <v>41350</v>
      </c>
      <c r="B26" t="s">
        <v>61</v>
      </c>
      <c r="C26" t="s">
        <v>60</v>
      </c>
      <c r="D26" t="s">
        <v>52</v>
      </c>
      <c r="E26" s="28">
        <v>2604.69</v>
      </c>
    </row>
    <row r="27" spans="1:5">
      <c r="A27" s="27">
        <v>41355</v>
      </c>
      <c r="B27" t="s">
        <v>62</v>
      </c>
      <c r="C27" t="s">
        <v>56</v>
      </c>
      <c r="D27" t="s">
        <v>57</v>
      </c>
      <c r="E27" s="28">
        <v>3442.84</v>
      </c>
    </row>
    <row r="28" spans="1:5">
      <c r="A28" s="27">
        <v>41355</v>
      </c>
      <c r="B28" t="s">
        <v>61</v>
      </c>
      <c r="C28" t="s">
        <v>60</v>
      </c>
      <c r="D28" t="s">
        <v>52</v>
      </c>
      <c r="E28" s="28">
        <v>3350.53</v>
      </c>
    </row>
    <row r="29" spans="1:5">
      <c r="A29" s="27">
        <v>41356</v>
      </c>
      <c r="B29" t="s">
        <v>59</v>
      </c>
      <c r="C29" t="s">
        <v>60</v>
      </c>
      <c r="D29" t="s">
        <v>52</v>
      </c>
      <c r="E29" s="28">
        <v>1647.11</v>
      </c>
    </row>
    <row r="30" spans="1:5">
      <c r="A30" s="27">
        <v>41362</v>
      </c>
      <c r="B30" t="s">
        <v>59</v>
      </c>
      <c r="C30" t="s">
        <v>60</v>
      </c>
      <c r="D30" t="s">
        <v>52</v>
      </c>
      <c r="E30" s="28">
        <v>2349.63</v>
      </c>
    </row>
    <row r="31" spans="1:5">
      <c r="A31" s="27">
        <v>41363</v>
      </c>
      <c r="B31" t="s">
        <v>59</v>
      </c>
      <c r="C31" t="s">
        <v>60</v>
      </c>
      <c r="D31" t="s">
        <v>52</v>
      </c>
      <c r="E31" s="28">
        <v>1865.98</v>
      </c>
    </row>
    <row r="32" spans="1:5">
      <c r="A32" s="27">
        <v>41370</v>
      </c>
      <c r="B32" t="s">
        <v>63</v>
      </c>
      <c r="C32" t="s">
        <v>56</v>
      </c>
      <c r="D32" t="s">
        <v>57</v>
      </c>
      <c r="E32" s="28">
        <v>2176.62</v>
      </c>
    </row>
    <row r="33" spans="1:5">
      <c r="A33" s="27">
        <v>41376</v>
      </c>
      <c r="B33" t="s">
        <v>55</v>
      </c>
      <c r="C33" t="s">
        <v>56</v>
      </c>
      <c r="D33" t="s">
        <v>57</v>
      </c>
      <c r="E33" s="28">
        <v>2657.21</v>
      </c>
    </row>
    <row r="34" spans="1:5">
      <c r="A34" s="27">
        <v>41383</v>
      </c>
      <c r="B34" t="s">
        <v>59</v>
      </c>
      <c r="C34" t="s">
        <v>60</v>
      </c>
      <c r="D34" t="s">
        <v>49</v>
      </c>
      <c r="E34" s="28">
        <v>2573.0500000000002</v>
      </c>
    </row>
    <row r="35" spans="1:5">
      <c r="A35" s="27">
        <v>41397</v>
      </c>
      <c r="B35" t="s">
        <v>61</v>
      </c>
      <c r="C35" t="s">
        <v>60</v>
      </c>
      <c r="D35" t="s">
        <v>52</v>
      </c>
      <c r="E35" s="28">
        <v>1068.3499999999999</v>
      </c>
    </row>
    <row r="36" spans="1:5">
      <c r="A36" s="27">
        <v>41405</v>
      </c>
      <c r="B36" t="s">
        <v>55</v>
      </c>
      <c r="C36" t="s">
        <v>56</v>
      </c>
      <c r="D36" t="s">
        <v>57</v>
      </c>
      <c r="E36" s="28">
        <v>3369.07</v>
      </c>
    </row>
    <row r="37" spans="1:5">
      <c r="A37" s="27">
        <v>41411</v>
      </c>
      <c r="B37" t="s">
        <v>50</v>
      </c>
      <c r="C37" t="s">
        <v>51</v>
      </c>
      <c r="D37" t="s">
        <v>54</v>
      </c>
      <c r="E37" s="28">
        <v>3783.81</v>
      </c>
    </row>
    <row r="38" spans="1:5">
      <c r="A38" s="27">
        <v>41419</v>
      </c>
      <c r="B38" t="s">
        <v>55</v>
      </c>
      <c r="C38" t="s">
        <v>56</v>
      </c>
      <c r="D38" t="s">
        <v>64</v>
      </c>
      <c r="E38" s="28">
        <v>2581.58</v>
      </c>
    </row>
    <row r="39" spans="1:5">
      <c r="A39" s="27">
        <v>41432</v>
      </c>
      <c r="B39" t="s">
        <v>62</v>
      </c>
      <c r="C39" t="s">
        <v>56</v>
      </c>
      <c r="D39" t="s">
        <v>64</v>
      </c>
      <c r="E39" s="28">
        <v>2010.14</v>
      </c>
    </row>
    <row r="40" spans="1:5">
      <c r="A40" s="27">
        <v>41433</v>
      </c>
      <c r="B40" t="s">
        <v>53</v>
      </c>
      <c r="C40" t="s">
        <v>47</v>
      </c>
      <c r="D40" t="s">
        <v>49</v>
      </c>
      <c r="E40" s="28">
        <v>2687.23</v>
      </c>
    </row>
    <row r="41" spans="1:5">
      <c r="A41" s="27">
        <v>41439</v>
      </c>
      <c r="B41" t="s">
        <v>53</v>
      </c>
      <c r="C41" t="s">
        <v>47</v>
      </c>
      <c r="D41" t="s">
        <v>54</v>
      </c>
      <c r="E41" s="28">
        <v>2382.25</v>
      </c>
    </row>
    <row r="42" spans="1:5">
      <c r="A42" s="27">
        <v>41446</v>
      </c>
      <c r="B42" t="s">
        <v>61</v>
      </c>
      <c r="C42" t="s">
        <v>60</v>
      </c>
      <c r="D42" t="s">
        <v>49</v>
      </c>
      <c r="E42" s="28">
        <v>2185.83</v>
      </c>
    </row>
    <row r="43" spans="1:5">
      <c r="A43" s="27">
        <v>41447</v>
      </c>
      <c r="B43" t="s">
        <v>59</v>
      </c>
      <c r="C43" t="s">
        <v>60</v>
      </c>
      <c r="D43" t="s">
        <v>52</v>
      </c>
      <c r="E43" s="28">
        <v>3154.58</v>
      </c>
    </row>
    <row r="44" spans="1:5">
      <c r="A44" s="27">
        <v>41453</v>
      </c>
      <c r="B44" t="s">
        <v>46</v>
      </c>
      <c r="C44" t="s">
        <v>47</v>
      </c>
      <c r="D44" t="s">
        <v>54</v>
      </c>
      <c r="E44" s="28">
        <v>2230.5700000000002</v>
      </c>
    </row>
    <row r="45" spans="1:5">
      <c r="A45" s="27">
        <v>41460</v>
      </c>
      <c r="B45" t="s">
        <v>58</v>
      </c>
      <c r="C45" t="s">
        <v>51</v>
      </c>
      <c r="D45" t="s">
        <v>54</v>
      </c>
      <c r="E45" s="28">
        <v>1833.96</v>
      </c>
    </row>
    <row r="46" spans="1:5">
      <c r="A46" s="27">
        <v>41461</v>
      </c>
      <c r="B46" t="s">
        <v>58</v>
      </c>
      <c r="C46" t="s">
        <v>51</v>
      </c>
      <c r="D46" t="s">
        <v>54</v>
      </c>
      <c r="E46" s="28">
        <v>2446.92</v>
      </c>
    </row>
    <row r="47" spans="1:5">
      <c r="A47" s="27">
        <v>41462</v>
      </c>
      <c r="B47" t="s">
        <v>63</v>
      </c>
      <c r="C47" t="s">
        <v>56</v>
      </c>
      <c r="D47" t="s">
        <v>64</v>
      </c>
      <c r="E47" s="28">
        <v>2091.63</v>
      </c>
    </row>
    <row r="48" spans="1:5">
      <c r="A48" s="27">
        <v>41467</v>
      </c>
      <c r="B48" t="s">
        <v>59</v>
      </c>
      <c r="C48" t="s">
        <v>60</v>
      </c>
      <c r="D48" t="s">
        <v>49</v>
      </c>
      <c r="E48" s="28">
        <v>2739.17</v>
      </c>
    </row>
    <row r="49" spans="1:5">
      <c r="A49" s="27">
        <v>41467</v>
      </c>
      <c r="B49" t="s">
        <v>61</v>
      </c>
      <c r="C49" t="s">
        <v>60</v>
      </c>
      <c r="D49" t="s">
        <v>49</v>
      </c>
      <c r="E49" s="28">
        <v>2515.6799999999998</v>
      </c>
    </row>
    <row r="50" spans="1:5">
      <c r="A50" s="27">
        <v>41469</v>
      </c>
      <c r="B50" t="s">
        <v>58</v>
      </c>
      <c r="C50" t="s">
        <v>51</v>
      </c>
      <c r="D50" t="s">
        <v>49</v>
      </c>
      <c r="E50" s="28">
        <v>2623.33</v>
      </c>
    </row>
    <row r="51" spans="1:5">
      <c r="A51" s="27">
        <v>41474</v>
      </c>
      <c r="B51" t="s">
        <v>55</v>
      </c>
      <c r="C51" t="s">
        <v>56</v>
      </c>
      <c r="D51" t="s">
        <v>64</v>
      </c>
      <c r="E51" s="28">
        <v>4877.99</v>
      </c>
    </row>
    <row r="52" spans="1:5">
      <c r="A52" s="27">
        <v>41475</v>
      </c>
      <c r="B52" t="s">
        <v>53</v>
      </c>
      <c r="C52" t="s">
        <v>47</v>
      </c>
      <c r="D52" t="s">
        <v>49</v>
      </c>
      <c r="E52" s="28">
        <v>1979.73</v>
      </c>
    </row>
    <row r="53" spans="1:5">
      <c r="A53" s="27">
        <v>41475</v>
      </c>
      <c r="B53" t="s">
        <v>63</v>
      </c>
      <c r="C53" t="s">
        <v>56</v>
      </c>
      <c r="D53" t="s">
        <v>48</v>
      </c>
      <c r="E53" s="28">
        <v>4057.65</v>
      </c>
    </row>
    <row r="54" spans="1:5">
      <c r="A54" s="27">
        <v>41475</v>
      </c>
      <c r="B54" t="s">
        <v>61</v>
      </c>
      <c r="C54" t="s">
        <v>60</v>
      </c>
      <c r="D54" t="s">
        <v>49</v>
      </c>
      <c r="E54" s="28">
        <v>1281.33</v>
      </c>
    </row>
    <row r="55" spans="1:5">
      <c r="A55" s="27">
        <v>41481</v>
      </c>
      <c r="B55" t="s">
        <v>61</v>
      </c>
      <c r="C55" t="s">
        <v>60</v>
      </c>
      <c r="D55" t="s">
        <v>52</v>
      </c>
      <c r="E55" s="28">
        <v>543.24</v>
      </c>
    </row>
    <row r="56" spans="1:5">
      <c r="A56" s="27">
        <v>41482</v>
      </c>
      <c r="B56" t="s">
        <v>53</v>
      </c>
      <c r="C56" t="s">
        <v>47</v>
      </c>
      <c r="D56" t="s">
        <v>52</v>
      </c>
      <c r="E56" s="28">
        <v>763.29</v>
      </c>
    </row>
    <row r="57" spans="1:5">
      <c r="A57" s="27">
        <v>41482</v>
      </c>
      <c r="B57" t="s">
        <v>63</v>
      </c>
      <c r="C57" t="s">
        <v>56</v>
      </c>
      <c r="D57" t="s">
        <v>48</v>
      </c>
      <c r="E57" s="28">
        <v>2360.39</v>
      </c>
    </row>
    <row r="58" spans="1:5">
      <c r="A58" s="27">
        <v>41482</v>
      </c>
      <c r="B58" t="s">
        <v>61</v>
      </c>
      <c r="C58" t="s">
        <v>60</v>
      </c>
      <c r="D58" t="s">
        <v>57</v>
      </c>
      <c r="E58" s="28">
        <v>422.95</v>
      </c>
    </row>
    <row r="59" spans="1:5">
      <c r="A59" s="27">
        <v>41483</v>
      </c>
      <c r="B59" t="s">
        <v>58</v>
      </c>
      <c r="C59" t="s">
        <v>51</v>
      </c>
      <c r="D59" t="s">
        <v>57</v>
      </c>
      <c r="E59" s="28">
        <v>4878.2299999999996</v>
      </c>
    </row>
    <row r="60" spans="1:5">
      <c r="A60" s="27">
        <v>41518</v>
      </c>
      <c r="B60" t="s">
        <v>61</v>
      </c>
      <c r="C60" t="s">
        <v>60</v>
      </c>
      <c r="D60" t="s">
        <v>48</v>
      </c>
      <c r="E60" s="28">
        <v>4253.46</v>
      </c>
    </row>
    <row r="61" spans="1:5">
      <c r="A61" s="27">
        <v>41523</v>
      </c>
      <c r="B61" t="s">
        <v>58</v>
      </c>
      <c r="C61" t="s">
        <v>51</v>
      </c>
      <c r="D61" t="s">
        <v>48</v>
      </c>
      <c r="E61" s="28">
        <v>4201.3599999999997</v>
      </c>
    </row>
    <row r="62" spans="1:5">
      <c r="A62" s="27">
        <v>41523</v>
      </c>
      <c r="B62" t="s">
        <v>61</v>
      </c>
      <c r="C62" t="s">
        <v>60</v>
      </c>
      <c r="D62" t="s">
        <v>52</v>
      </c>
      <c r="E62" s="28">
        <v>2663.42</v>
      </c>
    </row>
    <row r="63" spans="1:5">
      <c r="A63" s="27">
        <v>41524</v>
      </c>
      <c r="B63" t="s">
        <v>53</v>
      </c>
      <c r="C63" t="s">
        <v>47</v>
      </c>
      <c r="D63" t="s">
        <v>49</v>
      </c>
      <c r="E63" s="28">
        <v>3509.25</v>
      </c>
    </row>
    <row r="64" spans="1:5">
      <c r="A64" s="27">
        <v>41524</v>
      </c>
      <c r="B64" t="s">
        <v>58</v>
      </c>
      <c r="C64" t="s">
        <v>51</v>
      </c>
      <c r="D64" t="s">
        <v>54</v>
      </c>
      <c r="E64" s="28">
        <v>4927.34</v>
      </c>
    </row>
    <row r="65" spans="1:5">
      <c r="A65" s="27">
        <v>41524</v>
      </c>
      <c r="B65" t="s">
        <v>62</v>
      </c>
      <c r="C65" t="s">
        <v>56</v>
      </c>
      <c r="D65" t="s">
        <v>54</v>
      </c>
      <c r="E65" s="28">
        <v>2556.36</v>
      </c>
    </row>
    <row r="66" spans="1:5">
      <c r="A66" s="27">
        <v>41524</v>
      </c>
      <c r="B66" t="s">
        <v>63</v>
      </c>
      <c r="C66" t="s">
        <v>56</v>
      </c>
      <c r="D66" t="s">
        <v>54</v>
      </c>
      <c r="E66" s="28">
        <v>2073.38</v>
      </c>
    </row>
    <row r="67" spans="1:5">
      <c r="A67" s="27">
        <v>41530</v>
      </c>
      <c r="B67" t="s">
        <v>58</v>
      </c>
      <c r="C67" t="s">
        <v>51</v>
      </c>
      <c r="D67" t="s">
        <v>48</v>
      </c>
      <c r="E67" s="28">
        <v>3788.48</v>
      </c>
    </row>
    <row r="68" spans="1:5">
      <c r="A68" s="27">
        <v>41530</v>
      </c>
      <c r="B68" t="s">
        <v>62</v>
      </c>
      <c r="C68" t="s">
        <v>56</v>
      </c>
      <c r="D68" t="s">
        <v>49</v>
      </c>
      <c r="E68" s="28">
        <v>1010.12</v>
      </c>
    </row>
    <row r="69" spans="1:5">
      <c r="A69" s="27">
        <v>41530</v>
      </c>
      <c r="B69" t="s">
        <v>63</v>
      </c>
      <c r="C69" t="s">
        <v>56</v>
      </c>
      <c r="D69" t="s">
        <v>48</v>
      </c>
      <c r="E69" s="28">
        <v>329.03</v>
      </c>
    </row>
    <row r="70" spans="1:5">
      <c r="A70" s="27">
        <v>41531</v>
      </c>
      <c r="B70" t="s">
        <v>61</v>
      </c>
      <c r="C70" t="s">
        <v>60</v>
      </c>
      <c r="D70" t="s">
        <v>54</v>
      </c>
      <c r="E70" s="28">
        <v>2508.92</v>
      </c>
    </row>
    <row r="71" spans="1:5">
      <c r="A71" s="27">
        <v>41537</v>
      </c>
      <c r="B71" t="s">
        <v>58</v>
      </c>
      <c r="C71" t="s">
        <v>51</v>
      </c>
      <c r="D71" t="s">
        <v>64</v>
      </c>
      <c r="E71" s="28">
        <v>1246.78</v>
      </c>
    </row>
    <row r="72" spans="1:5">
      <c r="A72" s="27">
        <v>41544</v>
      </c>
      <c r="B72" t="s">
        <v>58</v>
      </c>
      <c r="C72" t="s">
        <v>51</v>
      </c>
      <c r="D72" t="s">
        <v>64</v>
      </c>
      <c r="E72" s="28">
        <v>778.93</v>
      </c>
    </row>
    <row r="73" spans="1:5">
      <c r="A73" s="27">
        <v>41551</v>
      </c>
      <c r="B73" t="s">
        <v>62</v>
      </c>
      <c r="C73" t="s">
        <v>56</v>
      </c>
      <c r="D73" t="s">
        <v>48</v>
      </c>
      <c r="E73" s="28">
        <v>956.54</v>
      </c>
    </row>
    <row r="74" spans="1:5">
      <c r="A74" s="27">
        <v>41565</v>
      </c>
      <c r="B74" t="s">
        <v>61</v>
      </c>
      <c r="C74" t="s">
        <v>60</v>
      </c>
      <c r="D74" t="s">
        <v>64</v>
      </c>
      <c r="E74" s="28">
        <v>426.71</v>
      </c>
    </row>
    <row r="75" spans="1:5">
      <c r="A75" s="27">
        <v>41572</v>
      </c>
      <c r="B75" t="s">
        <v>63</v>
      </c>
      <c r="C75" t="s">
        <v>56</v>
      </c>
      <c r="D75" t="s">
        <v>48</v>
      </c>
      <c r="E75" s="28">
        <v>1879.27</v>
      </c>
    </row>
    <row r="76" spans="1:5">
      <c r="A76" s="27">
        <v>41573</v>
      </c>
      <c r="B76" t="s">
        <v>63</v>
      </c>
      <c r="C76" t="s">
        <v>56</v>
      </c>
      <c r="D76" t="s">
        <v>48</v>
      </c>
      <c r="E76" s="28">
        <v>1745.77</v>
      </c>
    </row>
    <row r="77" spans="1:5">
      <c r="A77" s="27">
        <v>41573</v>
      </c>
      <c r="B77" t="s">
        <v>61</v>
      </c>
      <c r="C77" t="s">
        <v>60</v>
      </c>
      <c r="D77" t="s">
        <v>64</v>
      </c>
      <c r="E77" s="28">
        <v>1278.32</v>
      </c>
    </row>
    <row r="78" spans="1:5">
      <c r="A78" s="27">
        <v>41580</v>
      </c>
      <c r="B78" t="s">
        <v>62</v>
      </c>
      <c r="C78" t="s">
        <v>56</v>
      </c>
      <c r="D78" t="s">
        <v>49</v>
      </c>
      <c r="E78" s="28">
        <v>468.53</v>
      </c>
    </row>
    <row r="79" spans="1:5">
      <c r="A79" s="27">
        <v>41586</v>
      </c>
      <c r="B79" t="s">
        <v>53</v>
      </c>
      <c r="C79" t="s">
        <v>47</v>
      </c>
      <c r="D79" t="s">
        <v>48</v>
      </c>
      <c r="E79" s="28">
        <v>2489.7800000000002</v>
      </c>
    </row>
    <row r="80" spans="1:5">
      <c r="A80" s="27">
        <v>41593</v>
      </c>
      <c r="B80" t="s">
        <v>58</v>
      </c>
      <c r="C80" t="s">
        <v>51</v>
      </c>
      <c r="D80" t="s">
        <v>48</v>
      </c>
      <c r="E80" s="28">
        <v>3208.92</v>
      </c>
    </row>
    <row r="81" spans="1:5">
      <c r="A81" s="27">
        <v>41593</v>
      </c>
      <c r="B81" t="s">
        <v>63</v>
      </c>
      <c r="C81" t="s">
        <v>56</v>
      </c>
      <c r="D81" t="s">
        <v>57</v>
      </c>
      <c r="E81" s="28">
        <v>872.94</v>
      </c>
    </row>
    <row r="82" spans="1:5">
      <c r="A82" s="27">
        <v>41600</v>
      </c>
      <c r="B82" t="s">
        <v>58</v>
      </c>
      <c r="C82" t="s">
        <v>51</v>
      </c>
      <c r="D82" t="s">
        <v>54</v>
      </c>
      <c r="E82" s="28">
        <v>4211.1899999999996</v>
      </c>
    </row>
    <row r="83" spans="1:5">
      <c r="A83" s="27">
        <v>41600</v>
      </c>
      <c r="B83" t="s">
        <v>61</v>
      </c>
      <c r="C83" t="s">
        <v>60</v>
      </c>
      <c r="D83" t="s">
        <v>49</v>
      </c>
      <c r="E83" s="28">
        <v>4215.75</v>
      </c>
    </row>
    <row r="84" spans="1:5">
      <c r="A84" s="27">
        <v>41601</v>
      </c>
      <c r="B84" t="s">
        <v>58</v>
      </c>
      <c r="C84" t="s">
        <v>51</v>
      </c>
      <c r="D84" t="s">
        <v>48</v>
      </c>
      <c r="E84" s="28">
        <v>2863.68</v>
      </c>
    </row>
    <row r="85" spans="1:5">
      <c r="A85" s="27">
        <v>41621</v>
      </c>
      <c r="B85" t="s">
        <v>53</v>
      </c>
      <c r="C85" t="s">
        <v>47</v>
      </c>
      <c r="D85" t="s">
        <v>52</v>
      </c>
      <c r="E85" s="28">
        <v>2238.65</v>
      </c>
    </row>
    <row r="86" spans="1:5">
      <c r="A86" s="27">
        <v>41621</v>
      </c>
      <c r="B86" t="s">
        <v>58</v>
      </c>
      <c r="C86" t="s">
        <v>51</v>
      </c>
      <c r="D86" t="s">
        <v>64</v>
      </c>
      <c r="E86" s="28">
        <v>1845.31</v>
      </c>
    </row>
    <row r="87" spans="1:5">
      <c r="A87" s="27">
        <v>41622</v>
      </c>
      <c r="B87" t="s">
        <v>58</v>
      </c>
      <c r="C87" t="s">
        <v>51</v>
      </c>
      <c r="D87" t="s">
        <v>64</v>
      </c>
      <c r="E87" s="28">
        <v>3916.53</v>
      </c>
    </row>
    <row r="88" spans="1:5">
      <c r="A88" s="27">
        <v>41628</v>
      </c>
      <c r="B88" t="s">
        <v>53</v>
      </c>
      <c r="C88" t="s">
        <v>47</v>
      </c>
      <c r="D88" t="s">
        <v>57</v>
      </c>
      <c r="E88" s="28">
        <v>2403.8200000000002</v>
      </c>
    </row>
    <row r="89" spans="1:5">
      <c r="A89" s="27">
        <v>41628</v>
      </c>
      <c r="B89" t="s">
        <v>62</v>
      </c>
      <c r="C89" t="s">
        <v>56</v>
      </c>
      <c r="D89" t="s">
        <v>48</v>
      </c>
      <c r="E89" s="28">
        <v>2917.83</v>
      </c>
    </row>
    <row r="90" spans="1:5">
      <c r="A90" s="27">
        <v>41629</v>
      </c>
      <c r="B90" t="s">
        <v>53</v>
      </c>
      <c r="C90" t="s">
        <v>47</v>
      </c>
      <c r="D90" t="s">
        <v>54</v>
      </c>
      <c r="E90" s="28">
        <v>2075.79</v>
      </c>
    </row>
    <row r="91" spans="1:5">
      <c r="A91" s="27">
        <v>41630</v>
      </c>
      <c r="B91" t="s">
        <v>53</v>
      </c>
      <c r="C91" t="s">
        <v>47</v>
      </c>
      <c r="D91" t="s">
        <v>49</v>
      </c>
      <c r="E91" s="28">
        <v>2475.38</v>
      </c>
    </row>
    <row r="92" spans="1:5">
      <c r="A92" s="27">
        <v>41635</v>
      </c>
      <c r="B92" t="s">
        <v>53</v>
      </c>
      <c r="C92" t="s">
        <v>47</v>
      </c>
      <c r="D92" t="s">
        <v>57</v>
      </c>
      <c r="E92" s="28">
        <v>1845.96</v>
      </c>
    </row>
    <row r="93" spans="1:5">
      <c r="A93" s="27">
        <v>41635</v>
      </c>
      <c r="B93" t="s">
        <v>58</v>
      </c>
      <c r="C93" t="s">
        <v>51</v>
      </c>
      <c r="D93" t="s">
        <v>52</v>
      </c>
      <c r="E93" s="28">
        <v>302.45999999999998</v>
      </c>
    </row>
    <row r="94" spans="1:5">
      <c r="A94" s="27">
        <v>41635</v>
      </c>
      <c r="B94" t="s">
        <v>62</v>
      </c>
      <c r="C94" t="s">
        <v>56</v>
      </c>
      <c r="D94" t="s">
        <v>48</v>
      </c>
      <c r="E94" s="28">
        <v>1525.27</v>
      </c>
    </row>
    <row r="95" spans="1:5">
      <c r="A95" s="27">
        <v>41635</v>
      </c>
      <c r="B95" t="s">
        <v>63</v>
      </c>
      <c r="C95" t="s">
        <v>56</v>
      </c>
      <c r="D95" t="s">
        <v>48</v>
      </c>
      <c r="E95" s="28">
        <v>750.33</v>
      </c>
    </row>
    <row r="96" spans="1:5">
      <c r="A96" s="27">
        <v>41635</v>
      </c>
      <c r="B96" t="s">
        <v>61</v>
      </c>
      <c r="C96" t="s">
        <v>60</v>
      </c>
      <c r="D96" t="s">
        <v>48</v>
      </c>
      <c r="E96" s="28">
        <v>237.57</v>
      </c>
    </row>
    <row r="97" spans="1:5">
      <c r="A97" s="27">
        <v>41636</v>
      </c>
      <c r="B97" t="s">
        <v>53</v>
      </c>
      <c r="C97" t="s">
        <v>47</v>
      </c>
      <c r="D97" t="s">
        <v>49</v>
      </c>
      <c r="E97" s="28">
        <v>1412.77</v>
      </c>
    </row>
    <row r="98" spans="1:5">
      <c r="A98" s="27">
        <v>41636</v>
      </c>
      <c r="B98" t="s">
        <v>58</v>
      </c>
      <c r="C98" t="s">
        <v>51</v>
      </c>
      <c r="D98" t="s">
        <v>54</v>
      </c>
      <c r="E98" s="28">
        <v>966.84</v>
      </c>
    </row>
    <row r="99" spans="1:5">
      <c r="A99" s="27">
        <v>41636</v>
      </c>
      <c r="B99" t="s">
        <v>63</v>
      </c>
      <c r="C99" t="s">
        <v>56</v>
      </c>
      <c r="D99" t="s">
        <v>48</v>
      </c>
      <c r="E99" s="28">
        <v>1041.44</v>
      </c>
    </row>
    <row r="100" spans="1:5">
      <c r="A100" s="27">
        <v>41636</v>
      </c>
      <c r="B100" t="s">
        <v>61</v>
      </c>
      <c r="C100" t="s">
        <v>60</v>
      </c>
      <c r="D100" t="s">
        <v>64</v>
      </c>
      <c r="E100" s="28">
        <v>4042.98</v>
      </c>
    </row>
    <row r="101" spans="1:5">
      <c r="A101" s="27">
        <v>41637</v>
      </c>
      <c r="B101" t="s">
        <v>63</v>
      </c>
      <c r="C101" t="s">
        <v>56</v>
      </c>
      <c r="D101" t="s">
        <v>48</v>
      </c>
      <c r="E101" s="28">
        <v>2226.56</v>
      </c>
    </row>
  </sheetData>
  <pageMargins left="0.74803149606299213" right="0.74803149606299213" top="1.2795275590551181" bottom="1.2795275590551181" header="0.98385826771653528" footer="0.98385826771653528"/>
  <pageSetup paperSize="0" fitToWidth="0" fitToHeight="0" pageOrder="overThenDown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73D8-3B9E-4DEF-AAA8-71D2F762B05E}">
  <dimension ref="A1:H25"/>
  <sheetViews>
    <sheetView workbookViewId="0">
      <selection activeCell="A4" sqref="A4"/>
    </sheetView>
  </sheetViews>
  <sheetFormatPr baseColWidth="10" defaultRowHeight="13.8"/>
  <sheetData>
    <row r="1" spans="1:8">
      <c r="A1" s="29" t="s">
        <v>65</v>
      </c>
      <c r="B1" s="29"/>
      <c r="C1" s="29"/>
      <c r="D1" s="29"/>
      <c r="E1" s="29"/>
      <c r="F1" s="29"/>
    </row>
    <row r="3" spans="1:8">
      <c r="A3" s="30" t="s">
        <v>66</v>
      </c>
      <c r="B3" s="30" t="s">
        <v>67</v>
      </c>
      <c r="C3" s="30" t="s">
        <v>68</v>
      </c>
      <c r="D3" s="30" t="s">
        <v>69</v>
      </c>
      <c r="E3" s="30" t="s">
        <v>70</v>
      </c>
      <c r="F3" s="30" t="s">
        <v>71</v>
      </c>
    </row>
    <row r="4" spans="1:8">
      <c r="A4" s="23" t="s">
        <v>72</v>
      </c>
      <c r="B4" s="23">
        <v>2</v>
      </c>
      <c r="C4" s="23">
        <v>3</v>
      </c>
      <c r="D4" s="23">
        <v>5</v>
      </c>
      <c r="E4" s="31">
        <f t="shared" ref="E4:E13" si="0">AVERAGE(B4:D4)</f>
        <v>3.3333333333333335</v>
      </c>
      <c r="F4" s="23" t="str">
        <f t="shared" ref="F4:F13" si="1">VLOOKUP(E4,$A$22:$B$25,2)</f>
        <v>Insuficiente</v>
      </c>
    </row>
    <row r="5" spans="1:8">
      <c r="A5" s="23" t="s">
        <v>73</v>
      </c>
      <c r="B5" s="23">
        <v>9</v>
      </c>
      <c r="C5" s="23">
        <v>8</v>
      </c>
      <c r="D5" s="23">
        <v>4</v>
      </c>
      <c r="E5" s="31">
        <f t="shared" si="0"/>
        <v>7</v>
      </c>
      <c r="F5" s="23" t="str">
        <f t="shared" si="1"/>
        <v>Notable</v>
      </c>
    </row>
    <row r="6" spans="1:8">
      <c r="A6" s="23" t="s">
        <v>74</v>
      </c>
      <c r="B6" s="23">
        <v>6</v>
      </c>
      <c r="C6" s="23">
        <v>6</v>
      </c>
      <c r="D6" s="23">
        <v>5.75</v>
      </c>
      <c r="E6" s="31">
        <f t="shared" si="0"/>
        <v>5.916666666666667</v>
      </c>
      <c r="F6" s="23" t="str">
        <f t="shared" si="1"/>
        <v>Aprobado</v>
      </c>
    </row>
    <row r="7" spans="1:8">
      <c r="A7" s="23" t="s">
        <v>75</v>
      </c>
      <c r="B7" s="23">
        <v>7</v>
      </c>
      <c r="C7" s="23">
        <v>4</v>
      </c>
      <c r="D7" s="23">
        <v>5</v>
      </c>
      <c r="E7" s="31">
        <f t="shared" si="0"/>
        <v>5.333333333333333</v>
      </c>
      <c r="F7" s="23" t="str">
        <f t="shared" si="1"/>
        <v>Aprobado</v>
      </c>
    </row>
    <row r="8" spans="1:8">
      <c r="A8" s="23" t="s">
        <v>76</v>
      </c>
      <c r="B8" s="23">
        <v>4</v>
      </c>
      <c r="C8" s="23">
        <v>8</v>
      </c>
      <c r="D8" s="23">
        <v>6</v>
      </c>
      <c r="E8" s="31">
        <f t="shared" si="0"/>
        <v>6</v>
      </c>
      <c r="F8" s="23" t="str">
        <f t="shared" si="1"/>
        <v>Aprobado</v>
      </c>
      <c r="H8" t="s">
        <v>94</v>
      </c>
    </row>
    <row r="9" spans="1:8">
      <c r="A9" s="23" t="s">
        <v>77</v>
      </c>
      <c r="B9" s="23">
        <v>6</v>
      </c>
      <c r="C9" s="23">
        <v>6.5</v>
      </c>
      <c r="D9" s="23">
        <v>8</v>
      </c>
      <c r="E9" s="31">
        <f t="shared" si="0"/>
        <v>6.833333333333333</v>
      </c>
      <c r="F9" s="23" t="str">
        <f t="shared" si="1"/>
        <v>Aprobado</v>
      </c>
      <c r="H9" t="s">
        <v>95</v>
      </c>
    </row>
    <row r="10" spans="1:8">
      <c r="A10" s="23" t="s">
        <v>78</v>
      </c>
      <c r="B10" s="23">
        <v>5</v>
      </c>
      <c r="C10" s="23">
        <v>4</v>
      </c>
      <c r="D10" s="23">
        <v>9</v>
      </c>
      <c r="E10" s="31">
        <f t="shared" si="0"/>
        <v>6</v>
      </c>
      <c r="F10" s="23" t="str">
        <f t="shared" si="1"/>
        <v>Aprobado</v>
      </c>
    </row>
    <row r="11" spans="1:8">
      <c r="A11" s="23" t="s">
        <v>79</v>
      </c>
      <c r="B11" s="23">
        <v>9.1</v>
      </c>
      <c r="C11" s="23">
        <v>7</v>
      </c>
      <c r="D11" s="23">
        <v>4</v>
      </c>
      <c r="E11" s="31">
        <f t="shared" si="0"/>
        <v>6.7</v>
      </c>
      <c r="F11" s="23" t="str">
        <f t="shared" si="1"/>
        <v>Aprobado</v>
      </c>
    </row>
    <row r="12" spans="1:8">
      <c r="A12" s="23" t="s">
        <v>80</v>
      </c>
      <c r="B12" s="23">
        <v>1</v>
      </c>
      <c r="C12" s="23">
        <v>6</v>
      </c>
      <c r="D12" s="23">
        <v>2.2999999999999998</v>
      </c>
      <c r="E12" s="31">
        <f t="shared" si="0"/>
        <v>3.1</v>
      </c>
      <c r="F12" s="23" t="str">
        <f t="shared" si="1"/>
        <v>Insuficiente</v>
      </c>
    </row>
    <row r="13" spans="1:8">
      <c r="A13" s="23" t="s">
        <v>81</v>
      </c>
      <c r="B13" s="23">
        <v>9</v>
      </c>
      <c r="C13" s="23">
        <v>10</v>
      </c>
      <c r="D13" s="23">
        <v>9</v>
      </c>
      <c r="E13" s="31">
        <f t="shared" si="0"/>
        <v>9.3333333333333339</v>
      </c>
      <c r="F13" s="23" t="str">
        <f t="shared" si="1"/>
        <v>Excelente</v>
      </c>
    </row>
    <row r="15" spans="1:8">
      <c r="A15" s="32" t="s">
        <v>82</v>
      </c>
      <c r="B15" s="32"/>
    </row>
    <row r="16" spans="1:8">
      <c r="A16" s="33" t="s">
        <v>83</v>
      </c>
      <c r="B16" s="23">
        <f>MAX(B4:D13)</f>
        <v>10</v>
      </c>
    </row>
    <row r="17" spans="1:6">
      <c r="A17" s="33" t="s">
        <v>84</v>
      </c>
      <c r="B17" s="23">
        <f>MIN(B4:D13)</f>
        <v>1</v>
      </c>
      <c r="D17" s="33" t="s">
        <v>85</v>
      </c>
      <c r="E17" s="23">
        <f>COUNTA(A4:A13)</f>
        <v>10</v>
      </c>
    </row>
    <row r="18" spans="1:6">
      <c r="A18" s="33" t="s">
        <v>86</v>
      </c>
      <c r="B18" s="23">
        <f>_xlfn.MODE.SNGL(B4:D13)</f>
        <v>4</v>
      </c>
    </row>
    <row r="19" spans="1:6">
      <c r="A19" s="33" t="s">
        <v>87</v>
      </c>
      <c r="B19" s="23">
        <f>MEDIAN(B4:D13)</f>
        <v>6</v>
      </c>
    </row>
    <row r="21" spans="1:6">
      <c r="B21" s="34"/>
      <c r="C21" s="35" t="s">
        <v>88</v>
      </c>
      <c r="D21" s="35" t="s">
        <v>89</v>
      </c>
      <c r="E21" s="36"/>
      <c r="F21" s="36"/>
    </row>
    <row r="22" spans="1:6">
      <c r="A22" s="37">
        <v>0</v>
      </c>
      <c r="B22" s="38" t="s">
        <v>90</v>
      </c>
      <c r="C22" s="23">
        <f>COUNTIF($F$4:$F$13,B22)</f>
        <v>2</v>
      </c>
      <c r="D22" s="39">
        <f>C22/SUM($C$22:$C$25)</f>
        <v>0.2</v>
      </c>
    </row>
    <row r="23" spans="1:6">
      <c r="A23" s="37">
        <v>5</v>
      </c>
      <c r="B23" s="38" t="s">
        <v>91</v>
      </c>
      <c r="C23" s="23">
        <f>COUNTIF($F$4:$F$13,B23)</f>
        <v>6</v>
      </c>
      <c r="D23" s="39">
        <f>C23/SUM($C$22:$C$25)</f>
        <v>0.6</v>
      </c>
    </row>
    <row r="24" spans="1:6">
      <c r="A24" s="37">
        <v>7</v>
      </c>
      <c r="B24" s="38" t="s">
        <v>92</v>
      </c>
      <c r="C24" s="23">
        <f>COUNTIF($F$4:$F$13,B24)</f>
        <v>1</v>
      </c>
      <c r="D24" s="39">
        <f>C24/SUM($C$22:$C$25)</f>
        <v>0.1</v>
      </c>
    </row>
    <row r="25" spans="1:6">
      <c r="A25" s="37">
        <v>9</v>
      </c>
      <c r="B25" s="38" t="s">
        <v>93</v>
      </c>
      <c r="C25" s="23">
        <f>COUNTIF($F$4:$F$13,B25)</f>
        <v>1</v>
      </c>
      <c r="D25" s="39">
        <f>C25/SUM($C$22:$C$25)</f>
        <v>0.1</v>
      </c>
    </row>
  </sheetData>
  <mergeCells count="2">
    <mergeCell ref="A1:F1"/>
    <mergeCell ref="A15:B1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1339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Estilo</vt:lpstr>
      <vt:lpstr>Iconos</vt:lpstr>
      <vt:lpstr>Formulas</vt:lpstr>
      <vt:lpstr>Formulas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Fanlo</dc:creator>
  <cp:lastModifiedBy>User</cp:lastModifiedBy>
  <cp:revision>2</cp:revision>
  <dcterms:created xsi:type="dcterms:W3CDTF">2007-08-15T16:26:58Z</dcterms:created>
  <dcterms:modified xsi:type="dcterms:W3CDTF">2025-04-04T23:28:19Z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ción 1">
    <vt:lpwstr/>
  </property>
  <property fmtid="{D5CDD505-2E9C-101B-9397-08002B2CF9AE}" pid="3" name="Información 2">
    <vt:lpwstr/>
  </property>
  <property fmtid="{D5CDD505-2E9C-101B-9397-08002B2CF9AE}" pid="4" name="Información 3">
    <vt:lpwstr/>
  </property>
  <property fmtid="{D5CDD505-2E9C-101B-9397-08002B2CF9AE}" pid="5" name="Información 4">
    <vt:lpwstr/>
  </property>
</Properties>
</file>