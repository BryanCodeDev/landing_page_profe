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firstSheet="3" activeTab="10"/>
  </bookViews>
  <sheets>
    <sheet name="Ejercicio1" sheetId="1" r:id="rId1"/>
    <sheet name="Solucion1" sheetId="2" r:id="rId2"/>
    <sheet name="Ejercicio2" sheetId="3" r:id="rId3"/>
    <sheet name="Solucion2" sheetId="4" r:id="rId4"/>
    <sheet name="Ejercicio3" sheetId="5" r:id="rId5"/>
    <sheet name="Solucion3" sheetId="6" r:id="rId6"/>
    <sheet name="TMultiplicar" sheetId="7" r:id="rId7"/>
    <sheet name="SolucionTmultiplicar" sheetId="8" r:id="rId8"/>
    <sheet name="Deportes" sheetId="9" r:id="rId9"/>
    <sheet name="SoluciónDeportes" sheetId="10" r:id="rId10"/>
    <sheet name="Vendedores" sheetId="11" r:id="rId11"/>
    <sheet name="SoluciónVendedores" sheetId="12" r:id="rId12"/>
  </sheets>
  <definedNames>
    <definedName name="Venta">Vendedores!$B$8:$B$13</definedName>
  </definedNames>
  <calcPr calcId="144525"/>
</workbook>
</file>

<file path=xl/calcChain.xml><?xml version="1.0" encoding="utf-8"?>
<calcChain xmlns="http://schemas.openxmlformats.org/spreadsheetml/2006/main">
  <c r="D8" i="12" l="1"/>
  <c r="F8" i="12" s="1"/>
  <c r="E8" i="12"/>
  <c r="D9" i="12"/>
  <c r="F9" i="12" s="1"/>
  <c r="E9" i="12"/>
  <c r="D10" i="12"/>
  <c r="E10" i="12"/>
  <c r="F10" i="12"/>
  <c r="D11" i="12"/>
  <c r="E11" i="12"/>
  <c r="F11" i="12"/>
  <c r="D12" i="12"/>
  <c r="F12" i="12" s="1"/>
  <c r="E12" i="12"/>
  <c r="D13" i="12"/>
  <c r="F13" i="12" s="1"/>
  <c r="E13" i="12"/>
  <c r="B15" i="12"/>
  <c r="D15" i="12"/>
  <c r="E15" i="12"/>
  <c r="B17" i="12"/>
  <c r="F15" i="12" l="1"/>
  <c r="F9" i="10"/>
  <c r="G9" i="10"/>
  <c r="H9" i="10"/>
  <c r="I9" i="10"/>
  <c r="J9" i="10"/>
  <c r="K9" i="10"/>
  <c r="F10" i="10"/>
  <c r="G10" i="10"/>
  <c r="H10" i="10"/>
  <c r="I10" i="10"/>
  <c r="J10" i="10"/>
  <c r="K10" i="10"/>
  <c r="F11" i="10"/>
  <c r="G11" i="10"/>
  <c r="H11" i="10"/>
  <c r="I11" i="10"/>
  <c r="I13" i="10" s="1"/>
  <c r="I14" i="10" s="1"/>
  <c r="J11" i="10"/>
  <c r="K11" i="10"/>
  <c r="F13" i="10"/>
  <c r="G13" i="10"/>
  <c r="H13" i="10"/>
  <c r="J13" i="10"/>
  <c r="K13" i="10"/>
  <c r="F14" i="10"/>
  <c r="G14" i="10"/>
  <c r="H14" i="10"/>
  <c r="J14" i="10"/>
  <c r="K14" i="10"/>
  <c r="B2" i="8" l="1"/>
  <c r="C2" i="8"/>
  <c r="D2" i="8"/>
  <c r="E2" i="8"/>
  <c r="F2" i="8"/>
  <c r="G2" i="8"/>
  <c r="H2" i="8"/>
  <c r="I2" i="8"/>
  <c r="J2" i="8"/>
  <c r="B3" i="8"/>
  <c r="C3" i="8"/>
  <c r="D3" i="8"/>
  <c r="E3" i="8"/>
  <c r="F3" i="8"/>
  <c r="G3" i="8"/>
  <c r="H3" i="8"/>
  <c r="I3" i="8"/>
  <c r="J3" i="8"/>
  <c r="B4" i="8"/>
  <c r="C4" i="8"/>
  <c r="D4" i="8"/>
  <c r="E4" i="8"/>
  <c r="F4" i="8"/>
  <c r="G4" i="8"/>
  <c r="H4" i="8"/>
  <c r="I4" i="8"/>
  <c r="J4" i="8"/>
  <c r="B5" i="8"/>
  <c r="C5" i="8"/>
  <c r="D5" i="8"/>
  <c r="E5" i="8"/>
  <c r="F5" i="8"/>
  <c r="G5" i="8"/>
  <c r="H5" i="8"/>
  <c r="I5" i="8"/>
  <c r="J5" i="8"/>
  <c r="B6" i="8"/>
  <c r="C6" i="8"/>
  <c r="D6" i="8"/>
  <c r="E6" i="8"/>
  <c r="F6" i="8"/>
  <c r="G6" i="8"/>
  <c r="H6" i="8"/>
  <c r="I6" i="8"/>
  <c r="J6" i="8"/>
  <c r="B7" i="8"/>
  <c r="C7" i="8"/>
  <c r="D7" i="8"/>
  <c r="E7" i="8"/>
  <c r="F7" i="8"/>
  <c r="G7" i="8"/>
  <c r="H7" i="8"/>
  <c r="I7" i="8"/>
  <c r="J7" i="8"/>
  <c r="B8" i="8"/>
  <c r="C8" i="8"/>
  <c r="D8" i="8"/>
  <c r="E8" i="8"/>
  <c r="F8" i="8"/>
  <c r="G8" i="8"/>
  <c r="H8" i="8"/>
  <c r="I8" i="8"/>
  <c r="J8" i="8"/>
  <c r="B9" i="8"/>
  <c r="C9" i="8"/>
  <c r="D9" i="8"/>
  <c r="E9" i="8"/>
  <c r="F9" i="8"/>
  <c r="G9" i="8"/>
  <c r="H9" i="8"/>
  <c r="I9" i="8"/>
  <c r="J9" i="8"/>
  <c r="B10" i="8"/>
  <c r="C10" i="8"/>
  <c r="D10" i="8"/>
  <c r="E10" i="8"/>
  <c r="F10" i="8"/>
  <c r="G10" i="8"/>
  <c r="H10" i="8"/>
  <c r="I10" i="8"/>
  <c r="J10" i="8"/>
  <c r="C11" i="6" l="1"/>
  <c r="D11" i="6" s="1"/>
  <c r="B12" i="6"/>
  <c r="C17" i="6"/>
  <c r="D17" i="6" s="1"/>
  <c r="B18" i="6"/>
  <c r="B19" i="6" s="1"/>
  <c r="C18" i="6"/>
  <c r="B20" i="6" l="1"/>
  <c r="E17" i="6"/>
  <c r="D18" i="6"/>
  <c r="D12" i="6"/>
  <c r="E11" i="6"/>
  <c r="C12" i="6"/>
  <c r="C19" i="6"/>
  <c r="B13" i="6"/>
  <c r="B14" i="6"/>
  <c r="D2" i="4"/>
  <c r="G2" i="4" s="1"/>
  <c r="H2" i="4" s="1"/>
  <c r="E2" i="4"/>
  <c r="F2" i="4"/>
  <c r="D3" i="4"/>
  <c r="F3" i="4" s="1"/>
  <c r="E3" i="4"/>
  <c r="D4" i="4"/>
  <c r="E4" i="4" s="1"/>
  <c r="D5" i="4"/>
  <c r="E5" i="4"/>
  <c r="F5" i="4"/>
  <c r="G5" i="4"/>
  <c r="H5" i="4" s="1"/>
  <c r="D6" i="4"/>
  <c r="G6" i="4" s="1"/>
  <c r="H6" i="4" s="1"/>
  <c r="E6" i="4"/>
  <c r="F6" i="4"/>
  <c r="D7" i="4"/>
  <c r="F7" i="4" s="1"/>
  <c r="E7" i="4"/>
  <c r="D8" i="4"/>
  <c r="E8" i="4" s="1"/>
  <c r="D19" i="6" l="1"/>
  <c r="B23" i="6"/>
  <c r="E18" i="6"/>
  <c r="F17" i="6"/>
  <c r="C20" i="6"/>
  <c r="C24" i="6" s="1"/>
  <c r="C13" i="6"/>
  <c r="C14" i="6" s="1"/>
  <c r="D14" i="6"/>
  <c r="D23" i="6" s="1"/>
  <c r="D13" i="6"/>
  <c r="E12" i="6"/>
  <c r="F11" i="6"/>
  <c r="B24" i="6"/>
  <c r="G8" i="4"/>
  <c r="H8" i="4" s="1"/>
  <c r="F8" i="4"/>
  <c r="G7" i="4"/>
  <c r="H7" i="4" s="1"/>
  <c r="F4" i="4"/>
  <c r="G4" i="4" s="1"/>
  <c r="H4" i="4" s="1"/>
  <c r="G3" i="4"/>
  <c r="H3" i="4" s="1"/>
  <c r="E8" i="2"/>
  <c r="E9" i="2"/>
  <c r="E10" i="2"/>
  <c r="E11" i="2"/>
  <c r="D11" i="2"/>
  <c r="F11" i="2" s="1"/>
  <c r="D8" i="2"/>
  <c r="D9" i="2"/>
  <c r="D10" i="2"/>
  <c r="E7" i="2"/>
  <c r="D7" i="2"/>
  <c r="F7" i="2" s="1"/>
  <c r="B13" i="2"/>
  <c r="C23" i="6" l="1"/>
  <c r="C25" i="6" s="1"/>
  <c r="G11" i="6"/>
  <c r="G12" i="6" s="1"/>
  <c r="F12" i="6"/>
  <c r="H11" i="6"/>
  <c r="B25" i="6"/>
  <c r="E13" i="6"/>
  <c r="E14" i="6"/>
  <c r="E23" i="6" s="1"/>
  <c r="F18" i="6"/>
  <c r="G17" i="6"/>
  <c r="G18" i="6" s="1"/>
  <c r="D20" i="6"/>
  <c r="E19" i="6"/>
  <c r="E20" i="6" s="1"/>
  <c r="E24" i="6" s="1"/>
  <c r="H12" i="6"/>
  <c r="H9" i="4"/>
  <c r="F8" i="2"/>
  <c r="F13" i="2" s="1"/>
  <c r="F9" i="2"/>
  <c r="F10" i="2"/>
  <c r="E13" i="2"/>
  <c r="D13" i="2"/>
  <c r="G19" i="6" l="1"/>
  <c r="H19" i="6" s="1"/>
  <c r="H17" i="6"/>
  <c r="F13" i="6"/>
  <c r="F14" i="6" s="1"/>
  <c r="F19" i="6"/>
  <c r="F20" i="6" s="1"/>
  <c r="E25" i="6"/>
  <c r="H18" i="6"/>
  <c r="D24" i="6"/>
  <c r="D25" i="6" s="1"/>
  <c r="G13" i="6"/>
  <c r="H13" i="6" s="1"/>
  <c r="F24" i="6" l="1"/>
  <c r="H20" i="6"/>
  <c r="H24" i="6" s="1"/>
  <c r="F23" i="6"/>
  <c r="F25" i="6" s="1"/>
  <c r="H14" i="6"/>
  <c r="H23" i="6" s="1"/>
  <c r="H25" i="6" s="1"/>
  <c r="G20" i="6"/>
  <c r="G24" i="6" s="1"/>
  <c r="G14" i="6"/>
  <c r="G23" i="6" s="1"/>
  <c r="G25" i="6" s="1"/>
</calcChain>
</file>

<file path=xl/comments1.xml><?xml version="1.0" encoding="utf-8"?>
<comments xmlns="http://schemas.openxmlformats.org/spreadsheetml/2006/main">
  <authors>
    <author>Fernando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DiscoDurodeRoer:
Venta * Comisión Base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>
      <text>
        <r>
          <rPr>
            <b/>
            <sz val="9"/>
            <color indexed="81"/>
            <rFont val="Tahoma"/>
            <family val="2"/>
          </rPr>
          <t>DiscoDurodeRoer:
 Venta * Porcentaje Adicional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DiscoDurodeRoer:
 Comisión euros + Suplemento euros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DiscoDurodeRoer:
Suma de cada columna</t>
        </r>
      </text>
    </comment>
  </commentList>
</comments>
</file>

<file path=xl/comments2.xml><?xml version="1.0" encoding="utf-8"?>
<comments xmlns="http://schemas.openxmlformats.org/spreadsheetml/2006/main">
  <authors>
    <author>Fernando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DiscoDurodeRoer:
Venta * Comisión Base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>
      <text>
        <r>
          <rPr>
            <b/>
            <sz val="9"/>
            <color indexed="81"/>
            <rFont val="Tahoma"/>
            <family val="2"/>
          </rPr>
          <t>DiscoDurodeRoer:
 Venta * Porcentaje Adicional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DiscoDurodeRoer:
 Comisión euros + Suplemento euros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DiscoDurodeRoer:
Suma de cada columna</t>
        </r>
      </text>
    </comment>
  </commentList>
</comments>
</file>

<file path=xl/comments3.xml><?xml version="1.0" encoding="utf-8"?>
<comments xmlns="http://schemas.openxmlformats.org/spreadsheetml/2006/main">
  <authors>
    <author>Fernando</author>
  </authors>
  <commentList>
    <comment ref="A1" authorId="0">
      <text>
        <r>
          <rPr>
            <sz val="9"/>
            <color indexed="81"/>
            <rFont val="Tahoma"/>
            <charset val="1"/>
          </rPr>
          <t xml:space="preserve">DiscoDurodeRoer:
Rellena del C001 al C007
(Usa el autorrellenado)
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DiscoDurodeRoer:
Unidades*Precio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DiscoDurodeRoer:
Bruto*Dto Base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 xml:space="preserve">Fernando:
</t>
        </r>
        <r>
          <rPr>
            <sz val="9"/>
            <color indexed="81"/>
            <rFont val="Tahoma"/>
            <family val="2"/>
          </rPr>
          <t>Bruto * IVA%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DiscoDurodeRoer:</t>
        </r>
        <r>
          <rPr>
            <sz val="9"/>
            <color indexed="81"/>
            <rFont val="Tahoma"/>
            <charset val="1"/>
          </rPr>
          <t xml:space="preserve">
Bruto+IVA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DiscoDurodeRoer:
Neto - Descuento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>
      <text>
        <r>
          <rPr>
            <b/>
            <sz val="9"/>
            <color indexed="81"/>
            <rFont val="Tahoma"/>
            <charset val="1"/>
          </rPr>
          <t>DiscoDurodeRoer:</t>
        </r>
        <r>
          <rPr>
            <sz val="9"/>
            <color indexed="81"/>
            <rFont val="Tahoma"/>
            <charset val="1"/>
          </rPr>
          <t xml:space="preserve">
Total del total</t>
        </r>
      </text>
    </comment>
  </commentList>
</comments>
</file>

<file path=xl/comments4.xml><?xml version="1.0" encoding="utf-8"?>
<comments xmlns="http://schemas.openxmlformats.org/spreadsheetml/2006/main">
  <authors>
    <author>Fernando</author>
  </authors>
  <commentList>
    <comment ref="A1" authorId="0">
      <text>
        <r>
          <rPr>
            <sz val="9"/>
            <color indexed="81"/>
            <rFont val="Tahoma"/>
            <charset val="1"/>
          </rPr>
          <t xml:space="preserve">DiscoDurodeRoer:
Rellena del C001 al C007
(Usa el autorrellenado)
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DiscoDurodeRoer:
Unidades*Precio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DiscoDurodeRoer:
Bruto*Dto Base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 xml:space="preserve">Fernando:
</t>
        </r>
        <r>
          <rPr>
            <sz val="9"/>
            <color indexed="81"/>
            <rFont val="Tahoma"/>
            <family val="2"/>
          </rPr>
          <t>Bruto * IVA%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DiscoDurodeRoer:</t>
        </r>
        <r>
          <rPr>
            <sz val="9"/>
            <color indexed="81"/>
            <rFont val="Tahoma"/>
            <charset val="1"/>
          </rPr>
          <t xml:space="preserve">
Bruto+IVA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DiscoDurodeRoer:
Neto - Descuento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>
      <text>
        <r>
          <rPr>
            <b/>
            <sz val="9"/>
            <color indexed="81"/>
            <rFont val="Tahoma"/>
            <charset val="1"/>
          </rPr>
          <t>DiscoDurodeRoer:</t>
        </r>
        <r>
          <rPr>
            <sz val="9"/>
            <color indexed="81"/>
            <rFont val="Tahoma"/>
            <charset val="1"/>
          </rPr>
          <t xml:space="preserve">
Total del total</t>
        </r>
      </text>
    </comment>
  </commentList>
</comments>
</file>

<file path=xl/comments5.xml><?xml version="1.0" encoding="utf-8"?>
<comments xmlns="http://schemas.openxmlformats.org/spreadsheetml/2006/main">
  <authors>
    <author>Fernando</author>
  </authors>
  <commentList>
    <comment ref="A11" authorId="0">
      <text>
        <r>
          <rPr>
            <b/>
            <sz val="9"/>
            <color indexed="81"/>
            <rFont val="Tahoma"/>
            <charset val="1"/>
          </rPr>
          <t>DiscoDurodeRoer:
Volumen_ventas_anterior+(Volumen_ventas_anterior*Inc_ventas)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2" authorId="0">
      <text>
        <r>
          <rPr>
            <b/>
            <sz val="9"/>
            <color indexed="81"/>
            <rFont val="Tahoma"/>
            <charset val="1"/>
          </rPr>
          <t>DiscoDurodeRoer:
Volumen_ventas * Precio_Ventas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3" authorId="0">
      <text>
        <r>
          <rPr>
            <b/>
            <sz val="9"/>
            <color indexed="81"/>
            <rFont val="Tahoma"/>
            <charset val="1"/>
          </rPr>
          <t>DiscoDurodeRoer:
Total_Ventas * Descuento_ventas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4" authorId="0">
      <text>
        <r>
          <rPr>
            <b/>
            <sz val="9"/>
            <color indexed="81"/>
            <rFont val="Tahoma"/>
            <charset val="1"/>
          </rPr>
          <t>DiscoDurodeRoer:</t>
        </r>
        <r>
          <rPr>
            <sz val="9"/>
            <color indexed="81"/>
            <rFont val="Tahoma"/>
            <charset val="1"/>
          </rPr>
          <t xml:space="preserve">
Total_ventas - Descuentos</t>
        </r>
      </text>
    </comment>
    <comment ref="A17" authorId="0">
      <text>
        <r>
          <rPr>
            <b/>
            <sz val="9"/>
            <color indexed="81"/>
            <rFont val="Tahoma"/>
            <charset val="1"/>
          </rPr>
          <t>DiscoDurodeRoer:
Volumen_compra_anterior+(Volumen_compra_anterior*Inc_compra)</t>
        </r>
      </text>
    </comment>
    <comment ref="A18" authorId="0">
      <text>
        <r>
          <rPr>
            <b/>
            <sz val="9"/>
            <color indexed="81"/>
            <rFont val="Tahoma"/>
            <charset val="1"/>
          </rPr>
          <t>DiscoDurodeRoer:
Volumen_compra * Precio_compra</t>
        </r>
      </text>
    </comment>
    <comment ref="A19" authorId="0">
      <text>
        <r>
          <rPr>
            <b/>
            <sz val="9"/>
            <color indexed="81"/>
            <rFont val="Tahoma"/>
            <charset val="1"/>
          </rPr>
          <t>DiscoDurodeRoer:
Total_compra * Descuento_compra</t>
        </r>
      </text>
    </comment>
    <comment ref="A20" authorId="0">
      <text>
        <r>
          <rPr>
            <b/>
            <sz val="9"/>
            <color indexed="81"/>
            <rFont val="Tahoma"/>
            <charset val="1"/>
          </rPr>
          <t>DiscoDurodeRoer:
Total_compra - Descuentos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22" authorId="0">
      <text>
        <r>
          <rPr>
            <b/>
            <sz val="9"/>
            <color indexed="81"/>
            <rFont val="Tahoma"/>
            <charset val="1"/>
          </rPr>
          <t>DiscoDurodeRoer:
Piensa en como puedes escibir un solo dato y autorrellenar el resto (sin tener que copiar)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23" authorId="0">
      <text>
        <r>
          <rPr>
            <b/>
            <sz val="9"/>
            <color indexed="81"/>
            <rFont val="Tahoma"/>
            <charset val="1"/>
          </rPr>
          <t>DiscoDurodeRoer:
Neto Ventas</t>
        </r>
      </text>
    </comment>
    <comment ref="A24" authorId="0">
      <text>
        <r>
          <rPr>
            <b/>
            <sz val="9"/>
            <color indexed="81"/>
            <rFont val="Tahoma"/>
            <charset val="1"/>
          </rPr>
          <t xml:space="preserve">DiscoDurodeRoer:
Neto compras
</t>
        </r>
      </text>
    </comment>
    <comment ref="A25" authorId="0">
      <text>
        <r>
          <rPr>
            <b/>
            <sz val="9"/>
            <color indexed="81"/>
            <rFont val="Tahoma"/>
            <charset val="1"/>
          </rPr>
          <t xml:space="preserve">DiscoDurodeRoer:
Ganancias - Perdidas </t>
        </r>
      </text>
    </comment>
  </commentList>
</comments>
</file>

<file path=xl/comments6.xml><?xml version="1.0" encoding="utf-8"?>
<comments xmlns="http://schemas.openxmlformats.org/spreadsheetml/2006/main">
  <authors>
    <author>Fernando</author>
  </authors>
  <commentList>
    <comment ref="A11" authorId="0">
      <text>
        <r>
          <rPr>
            <b/>
            <sz val="9"/>
            <color indexed="81"/>
            <rFont val="Tahoma"/>
            <charset val="1"/>
          </rPr>
          <t>DiscoDurodeRoer:
Volumen_ventas_anterior+(Volumen_ventas_anterior*Inc_ventas)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2" authorId="0">
      <text>
        <r>
          <rPr>
            <b/>
            <sz val="9"/>
            <color indexed="81"/>
            <rFont val="Tahoma"/>
            <charset val="1"/>
          </rPr>
          <t>DiscoDurodeRoer:
Volumen_ventas * Precio_Ventas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3" authorId="0">
      <text>
        <r>
          <rPr>
            <b/>
            <sz val="9"/>
            <color indexed="81"/>
            <rFont val="Tahoma"/>
            <charset val="1"/>
          </rPr>
          <t>DiscoDurodeRoer:
Total_Ventas * Descuento_ventas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4" authorId="0">
      <text>
        <r>
          <rPr>
            <b/>
            <sz val="9"/>
            <color indexed="81"/>
            <rFont val="Tahoma"/>
            <charset val="1"/>
          </rPr>
          <t>DiscoDurodeRoer:</t>
        </r>
        <r>
          <rPr>
            <sz val="9"/>
            <color indexed="81"/>
            <rFont val="Tahoma"/>
            <charset val="1"/>
          </rPr>
          <t xml:space="preserve">
Total_ventas - Descuentos</t>
        </r>
      </text>
    </comment>
    <comment ref="A17" authorId="0">
      <text>
        <r>
          <rPr>
            <b/>
            <sz val="9"/>
            <color indexed="81"/>
            <rFont val="Tahoma"/>
            <charset val="1"/>
          </rPr>
          <t>DiscoDurodeRoer:
Volumen_compra_anterior+(Volumen_compra_anterior*Inc_compra)</t>
        </r>
      </text>
    </comment>
    <comment ref="A18" authorId="0">
      <text>
        <r>
          <rPr>
            <b/>
            <sz val="9"/>
            <color indexed="81"/>
            <rFont val="Tahoma"/>
            <charset val="1"/>
          </rPr>
          <t>DiscoDurodeRoer:
Volumen_compra * Precio_compra</t>
        </r>
      </text>
    </comment>
    <comment ref="A19" authorId="0">
      <text>
        <r>
          <rPr>
            <b/>
            <sz val="9"/>
            <color indexed="81"/>
            <rFont val="Tahoma"/>
            <charset val="1"/>
          </rPr>
          <t>DiscoDurodeRoer:
Total_compra * Descuento_compra</t>
        </r>
      </text>
    </comment>
    <comment ref="A20" authorId="0">
      <text>
        <r>
          <rPr>
            <b/>
            <sz val="9"/>
            <color indexed="81"/>
            <rFont val="Tahoma"/>
            <charset val="1"/>
          </rPr>
          <t>DiscoDurodeRoer:
Total_compra - Descuentos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22" authorId="0">
      <text>
        <r>
          <rPr>
            <b/>
            <sz val="9"/>
            <color indexed="81"/>
            <rFont val="Tahoma"/>
            <charset val="1"/>
          </rPr>
          <t>DiscoDurodeRoer:
Piensa en como puedes escibir un solo dato y autorrellenar el resto (sin tener que copiar)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23" authorId="0">
      <text>
        <r>
          <rPr>
            <b/>
            <sz val="9"/>
            <color indexed="81"/>
            <rFont val="Tahoma"/>
            <charset val="1"/>
          </rPr>
          <t>DiscoDurodeRoer:
Neto Ventas</t>
        </r>
      </text>
    </comment>
    <comment ref="A24" authorId="0">
      <text>
        <r>
          <rPr>
            <b/>
            <sz val="9"/>
            <color indexed="81"/>
            <rFont val="Tahoma"/>
            <charset val="1"/>
          </rPr>
          <t xml:space="preserve">DiscoDurodeRoer:
Neto compras
</t>
        </r>
      </text>
    </comment>
    <comment ref="A25" authorId="0">
      <text>
        <r>
          <rPr>
            <b/>
            <sz val="9"/>
            <color indexed="81"/>
            <rFont val="Tahoma"/>
            <charset val="1"/>
          </rPr>
          <t>DiscoDurodeRoer:
Ganancias - Perdidas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Introduce las cantidades que desees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20% de las ventas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 4%de las Ventas + 10 €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21% de las Ventas - 21% de las Compras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Suma de Compras, Personal y IVA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Ventas - Compras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Introduce las cantidades que desees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20% de las ventas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El 4%de las Ventas + 10 €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21% de las Ventas - 21% de las Compras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Suma de Compras, Personal y IVA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Ventas - Compras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D6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Venta * Comision base
</t>
        </r>
      </text>
    </comment>
    <comment ref="E6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Venta * Porcentaje adicional</t>
        </r>
      </text>
    </comment>
    <comment ref="F6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Comision + Suplemento</t>
        </r>
      </text>
    </comment>
    <comment ref="A15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Suma los valores de cada columna</t>
        </r>
      </text>
    </comment>
    <comment ref="A17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Media de las ventas</t>
        </r>
      </text>
    </comment>
  </commentList>
</comments>
</file>

<file path=xl/sharedStrings.xml><?xml version="1.0" encoding="utf-8"?>
<sst xmlns="http://schemas.openxmlformats.org/spreadsheetml/2006/main" count="230" uniqueCount="101">
  <si>
    <t>Calculo de comisiones</t>
  </si>
  <si>
    <t>Enero</t>
  </si>
  <si>
    <t>Vendedor</t>
  </si>
  <si>
    <t>Oscar</t>
  </si>
  <si>
    <t>Eduardo</t>
  </si>
  <si>
    <t>Teresa</t>
  </si>
  <si>
    <t>Beatriz</t>
  </si>
  <si>
    <t>Victoria</t>
  </si>
  <si>
    <t>Totales</t>
  </si>
  <si>
    <t>Mes</t>
  </si>
  <si>
    <t>Comision Base</t>
  </si>
  <si>
    <t>Venta</t>
  </si>
  <si>
    <t>Porcentaje adicional</t>
  </si>
  <si>
    <t>Comision euros</t>
  </si>
  <si>
    <t>Suplemento Euros</t>
  </si>
  <si>
    <t>Suma Comisiones</t>
  </si>
  <si>
    <t>www.discoduroderoer.es</t>
  </si>
  <si>
    <t>Visita nuestra web, para ver mas manuales y ejercicios:</t>
  </si>
  <si>
    <t>FONDOS</t>
  </si>
  <si>
    <t>EMBALAJES</t>
  </si>
  <si>
    <t>TAPAS</t>
  </si>
  <si>
    <t>BOLSAS</t>
  </si>
  <si>
    <t>CORDONES</t>
  </si>
  <si>
    <t>IVA</t>
  </si>
  <si>
    <t>REFUERZOS</t>
  </si>
  <si>
    <t>Dto Base</t>
  </si>
  <si>
    <t>ASAS</t>
  </si>
  <si>
    <t>Descuentos e IVA</t>
  </si>
  <si>
    <t>ARTICULOS</t>
  </si>
  <si>
    <t>PRECIO</t>
  </si>
  <si>
    <t>Total</t>
  </si>
  <si>
    <t>C001</t>
  </si>
  <si>
    <t>Neto</t>
  </si>
  <si>
    <t>Descuento</t>
  </si>
  <si>
    <t>Bruto</t>
  </si>
  <si>
    <t>Unidades</t>
  </si>
  <si>
    <t>Descripcion</t>
  </si>
  <si>
    <t>Codigo</t>
  </si>
  <si>
    <t>C007</t>
  </si>
  <si>
    <t>C006</t>
  </si>
  <si>
    <t>C005</t>
  </si>
  <si>
    <t>C004</t>
  </si>
  <si>
    <t>C003</t>
  </si>
  <si>
    <t>C002</t>
  </si>
  <si>
    <t>Beneficios</t>
  </si>
  <si>
    <t>Pérdidas</t>
  </si>
  <si>
    <t>Ganancias</t>
  </si>
  <si>
    <t>Resúmenes</t>
  </si>
  <si>
    <t>Neto Compras</t>
  </si>
  <si>
    <t>Descuentos</t>
  </si>
  <si>
    <t>Total Compras</t>
  </si>
  <si>
    <t>Volumen compras</t>
  </si>
  <si>
    <t>Compras</t>
  </si>
  <si>
    <t>Neto Ventas</t>
  </si>
  <si>
    <t>Total Ventas</t>
  </si>
  <si>
    <t>Volumen Ventas</t>
  </si>
  <si>
    <t>Ventas</t>
  </si>
  <si>
    <t>Junio</t>
  </si>
  <si>
    <t>Mayo</t>
  </si>
  <si>
    <t>Abril</t>
  </si>
  <si>
    <t>Marzo</t>
  </si>
  <si>
    <t>Febrero</t>
  </si>
  <si>
    <t>% Des Compras</t>
  </si>
  <si>
    <t>% Des Ventas</t>
  </si>
  <si>
    <t>Precio Compras</t>
  </si>
  <si>
    <t>Precio Ventas</t>
  </si>
  <si>
    <t>% Inc Compras</t>
  </si>
  <si>
    <t>% Inc Ventas</t>
  </si>
  <si>
    <t>Tabla Variables Compra</t>
  </si>
  <si>
    <t>Tabla de Variables Ventas</t>
  </si>
  <si>
    <t>ELECTRODOMESTICOS EL CHISPAZO S.A.</t>
  </si>
  <si>
    <t>X</t>
  </si>
  <si>
    <t>BENEFICIOS</t>
  </si>
  <si>
    <t>TOTAL SALIDAS</t>
  </si>
  <si>
    <t>Personal</t>
  </si>
  <si>
    <t>SALIDAS</t>
  </si>
  <si>
    <t>ENTRADAS</t>
  </si>
  <si>
    <t>JUNIO</t>
  </si>
  <si>
    <t>MAYO</t>
  </si>
  <si>
    <t>ABRIL</t>
  </si>
  <si>
    <t>MARZO</t>
  </si>
  <si>
    <t>FEBRERO</t>
  </si>
  <si>
    <t>ENERO</t>
  </si>
  <si>
    <t>BENEFICIOS SEMESTRALES TIENDAS DE DEPORTES</t>
  </si>
  <si>
    <t>Media</t>
  </si>
  <si>
    <t>TOTALES</t>
  </si>
  <si>
    <t>VICTORIA</t>
  </si>
  <si>
    <t>BEATRIZ</t>
  </si>
  <si>
    <t>ANTONIO</t>
  </si>
  <si>
    <t>TERESA</t>
  </si>
  <si>
    <t>EDUARDO</t>
  </si>
  <si>
    <t>OSCAR</t>
  </si>
  <si>
    <t>SUMA EUROS</t>
  </si>
  <si>
    <t>SUPLEMENTO EUROS</t>
  </si>
  <si>
    <t>COMISIÓN EUROS</t>
  </si>
  <si>
    <t>PORCENTAJE ADICIONAL</t>
  </si>
  <si>
    <t>VENTA</t>
  </si>
  <si>
    <t>VENDEDOR</t>
  </si>
  <si>
    <t>COMISIÓN BASE</t>
  </si>
  <si>
    <t>MES</t>
  </si>
  <si>
    <t>CALCULO DE 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</si>
</sst>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\ &quot;€&quot;"/>
    <numFmt numFmtId="165" formatCode="#,##0.00\ _€"/>
    <numFmt numFmtId="166" formatCode="_-* #,##0.00\ &quot;€&quot;_-;\-* #,##0.00\ &quot;€&quot;_-;_-* &quot;-&quot;??\ &quot;€&quot;_-;_-@_-"/>
    <numFmt numFmtId="167" formatCode="0.000"/>
    <numFmt numFmtId="168" formatCode="_-* #,##0.00\ _€_-;\-* #,##0.00\ _€_-;_-* &quot;-&quot;??\ _€_-;_-@_-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omic Sans MS"/>
      <family val="4"/>
    </font>
    <font>
      <b/>
      <sz val="8"/>
      <name val="Comic Sans MS"/>
      <family val="4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9"/>
      <color indexed="10"/>
      <name val="Courier"/>
      <family val="3"/>
    </font>
    <font>
      <sz val="12"/>
      <color indexed="10"/>
      <name val="Courier"/>
      <family val="3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48"/>
      </right>
      <top style="thick">
        <color indexed="48"/>
      </top>
      <bottom style="thick">
        <color indexed="48"/>
      </bottom>
      <diagonal/>
    </border>
    <border>
      <left/>
      <right/>
      <top style="thick">
        <color indexed="48"/>
      </top>
      <bottom style="thick">
        <color indexed="48"/>
      </bottom>
      <diagonal/>
    </border>
    <border>
      <left style="thick">
        <color indexed="48"/>
      </left>
      <right/>
      <top style="thick">
        <color indexed="48"/>
      </top>
      <bottom style="thick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6" fontId="9" fillId="0" borderId="0" applyFont="0" applyFill="0" applyBorder="0" applyAlignment="0" applyProtection="0"/>
    <xf numFmtId="168" fontId="4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0" fontId="1" fillId="0" borderId="0" xfId="1"/>
    <xf numFmtId="0" fontId="0" fillId="0" borderId="0" xfId="0" applyFill="1" applyBorder="1"/>
    <xf numFmtId="0" fontId="0" fillId="0" borderId="0" xfId="0" applyAlignment="1"/>
    <xf numFmtId="0" fontId="0" fillId="3" borderId="1" xfId="0" applyFill="1" applyBorder="1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64" fontId="0" fillId="0" borderId="1" xfId="0" applyNumberFormat="1" applyBorder="1"/>
    <xf numFmtId="164" fontId="0" fillId="0" borderId="0" xfId="0" applyNumberFormat="1" applyFill="1" applyBorder="1"/>
    <xf numFmtId="9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2" borderId="1" xfId="0" applyNumberFormat="1" applyFill="1" applyBorder="1"/>
    <xf numFmtId="165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/>
    <xf numFmtId="0" fontId="7" fillId="0" borderId="1" xfId="0" applyFont="1" applyBorder="1" applyAlignment="1">
      <alignment horizontal="right"/>
    </xf>
    <xf numFmtId="3" fontId="7" fillId="2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3" fontId="7" fillId="4" borderId="1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0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0" xfId="0" applyFont="1" applyAlignment="1"/>
    <xf numFmtId="0" fontId="8" fillId="0" borderId="1" xfId="0" applyFont="1" applyBorder="1" applyAlignment="1">
      <alignment horizontal="center"/>
    </xf>
    <xf numFmtId="164" fontId="7" fillId="0" borderId="0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166" fontId="0" fillId="6" borderId="10" xfId="2" applyFont="1" applyFill="1" applyBorder="1"/>
    <xf numFmtId="166" fontId="0" fillId="6" borderId="11" xfId="2" applyFont="1" applyFill="1" applyBorder="1"/>
    <xf numFmtId="0" fontId="0" fillId="7" borderId="12" xfId="0" applyFill="1" applyBorder="1"/>
    <xf numFmtId="167" fontId="0" fillId="6" borderId="13" xfId="0" applyNumberFormat="1" applyFill="1" applyBorder="1"/>
    <xf numFmtId="167" fontId="0" fillId="6" borderId="14" xfId="0" applyNumberFormat="1" applyFill="1" applyBorder="1"/>
    <xf numFmtId="0" fontId="0" fillId="7" borderId="15" xfId="0" applyFill="1" applyBorder="1"/>
    <xf numFmtId="0" fontId="0" fillId="0" borderId="0" xfId="0" applyBorder="1"/>
    <xf numFmtId="0" fontId="0" fillId="8" borderId="0" xfId="0" applyFill="1" applyBorder="1"/>
    <xf numFmtId="2" fontId="10" fillId="0" borderId="16" xfId="0" applyNumberFormat="1" applyFont="1" applyFill="1" applyBorder="1"/>
    <xf numFmtId="2" fontId="10" fillId="0" borderId="17" xfId="0" applyNumberFormat="1" applyFont="1" applyFill="1" applyBorder="1"/>
    <xf numFmtId="2" fontId="10" fillId="0" borderId="18" xfId="0" applyNumberFormat="1" applyFont="1" applyFill="1" applyBorder="1"/>
    <xf numFmtId="0" fontId="0" fillId="7" borderId="19" xfId="0" applyFill="1" applyBorder="1"/>
    <xf numFmtId="2" fontId="10" fillId="0" borderId="8" xfId="0" applyNumberFormat="1" applyFont="1" applyFill="1" applyBorder="1"/>
    <xf numFmtId="2" fontId="10" fillId="0" borderId="0" xfId="0" applyNumberFormat="1" applyFont="1" applyFill="1" applyBorder="1"/>
    <xf numFmtId="2" fontId="10" fillId="0" borderId="9" xfId="0" applyNumberFormat="1" applyFont="1" applyFill="1" applyBorder="1"/>
    <xf numFmtId="0" fontId="0" fillId="7" borderId="20" xfId="0" applyFill="1" applyBorder="1"/>
    <xf numFmtId="167" fontId="10" fillId="0" borderId="13" xfId="0" applyNumberFormat="1" applyFont="1" applyFill="1" applyBorder="1"/>
    <xf numFmtId="167" fontId="10" fillId="0" borderId="14" xfId="0" applyNumberFormat="1" applyFont="1" applyFill="1" applyBorder="1"/>
    <xf numFmtId="167" fontId="10" fillId="0" borderId="15" xfId="0" applyNumberFormat="1" applyFont="1" applyFill="1" applyBorder="1"/>
    <xf numFmtId="0" fontId="0" fillId="7" borderId="21" xfId="0" applyFill="1" applyBorder="1"/>
    <xf numFmtId="0" fontId="0" fillId="8" borderId="0" xfId="0" applyFill="1"/>
    <xf numFmtId="166" fontId="11" fillId="6" borderId="10" xfId="2" applyFont="1" applyFill="1" applyBorder="1"/>
    <xf numFmtId="166" fontId="11" fillId="6" borderId="11" xfId="2" applyFont="1" applyFill="1" applyBorder="1"/>
    <xf numFmtId="0" fontId="11" fillId="7" borderId="22" xfId="0" applyFont="1" applyFill="1" applyBorder="1"/>
    <xf numFmtId="0" fontId="0" fillId="7" borderId="23" xfId="0" applyFill="1" applyBorder="1"/>
    <xf numFmtId="0" fontId="12" fillId="0" borderId="0" xfId="0" applyFont="1" applyAlignment="1">
      <alignment horizontal="center"/>
    </xf>
    <xf numFmtId="0" fontId="13" fillId="9" borderId="24" xfId="0" applyFont="1" applyFill="1" applyBorder="1" applyAlignment="1">
      <alignment horizontal="center"/>
    </xf>
    <xf numFmtId="0" fontId="13" fillId="9" borderId="25" xfId="0" applyFont="1" applyFill="1" applyBorder="1" applyAlignment="1">
      <alignment horizontal="center"/>
    </xf>
    <xf numFmtId="0" fontId="14" fillId="9" borderId="26" xfId="0" applyFont="1" applyFill="1" applyBorder="1" applyAlignment="1">
      <alignment horizontal="center"/>
    </xf>
    <xf numFmtId="0" fontId="0" fillId="7" borderId="18" xfId="0" applyFill="1" applyBorder="1"/>
    <xf numFmtId="0" fontId="0" fillId="7" borderId="9" xfId="0" applyFill="1" applyBorder="1"/>
    <xf numFmtId="164" fontId="0" fillId="3" borderId="1" xfId="0" applyNumberFormat="1" applyFill="1" applyBorder="1"/>
    <xf numFmtId="164" fontId="0" fillId="5" borderId="1" xfId="0" applyNumberFormat="1" applyFill="1" applyBorder="1"/>
    <xf numFmtId="10" fontId="0" fillId="5" borderId="1" xfId="0" applyNumberFormat="1" applyFill="1" applyBorder="1"/>
    <xf numFmtId="168" fontId="0" fillId="5" borderId="1" xfId="3" applyNumberFormat="1" applyFont="1" applyFill="1" applyBorder="1"/>
    <xf numFmtId="164" fontId="0" fillId="10" borderId="1" xfId="0" applyNumberFormat="1" applyFill="1" applyBorder="1"/>
    <xf numFmtId="10" fontId="0" fillId="10" borderId="1" xfId="0" applyNumberFormat="1" applyFill="1" applyBorder="1"/>
    <xf numFmtId="168" fontId="0" fillId="10" borderId="1" xfId="3" applyNumberFormat="1" applyFont="1" applyFill="1" applyBorder="1"/>
    <xf numFmtId="0" fontId="0" fillId="10" borderId="1" xfId="0" applyFill="1" applyBorder="1"/>
    <xf numFmtId="0" fontId="0" fillId="3" borderId="7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wrapText="1"/>
    </xf>
    <xf numFmtId="0" fontId="0" fillId="3" borderId="27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10" borderId="3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64" fontId="0" fillId="5" borderId="1" xfId="3" applyNumberFormat="1" applyFont="1" applyFill="1" applyBorder="1"/>
    <xf numFmtId="164" fontId="0" fillId="10" borderId="1" xfId="3" applyNumberFormat="1" applyFont="1" applyFill="1" applyBorder="1"/>
    <xf numFmtId="164" fontId="0" fillId="10" borderId="1" xfId="0" applyNumberFormat="1" applyFill="1" applyBorder="1" applyAlignment="1">
      <alignment horizontal="right"/>
    </xf>
  </cellXfs>
  <cellStyles count="4">
    <cellStyle name="Euro" xfId="2"/>
    <cellStyle name="Hipervínculo" xfId="1" builtinId="8"/>
    <cellStyle name="Millares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discoduroderoer.e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scoduroderoer.es/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hyperlink" Target="http://www.discoduroderoer.es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4"/>
  <sheetViews>
    <sheetView workbookViewId="0">
      <selection activeCell="C1" sqref="C1"/>
    </sheetView>
  </sheetViews>
  <sheetFormatPr baseColWidth="10" defaultRowHeight="15" x14ac:dyDescent="0.25"/>
  <cols>
    <col min="3" max="3" width="20.7109375" bestFit="1" customWidth="1"/>
    <col min="4" max="4" width="14.7109375" bestFit="1" customWidth="1"/>
    <col min="5" max="5" width="17.28515625" bestFit="1" customWidth="1"/>
    <col min="6" max="6" width="16.7109375" bestFit="1" customWidth="1"/>
  </cols>
  <sheetData>
    <row r="1" spans="1:6" x14ac:dyDescent="0.25">
      <c r="C1" s="7" t="s">
        <v>0</v>
      </c>
    </row>
    <row r="2" spans="1:6" x14ac:dyDescent="0.25">
      <c r="C2" s="1" t="s">
        <v>9</v>
      </c>
      <c r="D2" s="1" t="s">
        <v>1</v>
      </c>
    </row>
    <row r="3" spans="1:6" x14ac:dyDescent="0.25">
      <c r="C3" s="1" t="s">
        <v>10</v>
      </c>
      <c r="D3" s="2">
        <v>3.5000000000000003E-2</v>
      </c>
    </row>
    <row r="5" spans="1:6" x14ac:dyDescent="0.25">
      <c r="A5" s="7" t="s">
        <v>2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</row>
    <row r="7" spans="1:6" x14ac:dyDescent="0.25">
      <c r="A7" s="1" t="s">
        <v>3</v>
      </c>
      <c r="B7" s="1">
        <v>120000</v>
      </c>
      <c r="C7" s="2">
        <v>5.0000000000000001E-3</v>
      </c>
      <c r="D7" s="3"/>
      <c r="E7" s="3"/>
      <c r="F7" s="3"/>
    </row>
    <row r="8" spans="1:6" x14ac:dyDescent="0.25">
      <c r="A8" s="1" t="s">
        <v>4</v>
      </c>
      <c r="B8" s="1">
        <v>56960</v>
      </c>
      <c r="C8" s="2">
        <v>5.0000000000000001E-3</v>
      </c>
      <c r="D8" s="3"/>
      <c r="E8" s="3"/>
      <c r="F8" s="3"/>
    </row>
    <row r="9" spans="1:6" x14ac:dyDescent="0.25">
      <c r="A9" s="1" t="s">
        <v>5</v>
      </c>
      <c r="B9" s="1">
        <v>60640</v>
      </c>
      <c r="C9" s="2">
        <v>2E-3</v>
      </c>
      <c r="D9" s="3"/>
      <c r="E9" s="3"/>
      <c r="F9" s="3"/>
    </row>
    <row r="10" spans="1:6" x14ac:dyDescent="0.25">
      <c r="A10" s="1" t="s">
        <v>6</v>
      </c>
      <c r="B10" s="1">
        <v>89600</v>
      </c>
      <c r="C10" s="2">
        <v>2E-3</v>
      </c>
      <c r="D10" s="3"/>
      <c r="E10" s="3"/>
      <c r="F10" s="3"/>
    </row>
    <row r="11" spans="1:6" x14ac:dyDescent="0.25">
      <c r="A11" s="1" t="s">
        <v>7</v>
      </c>
      <c r="B11" s="1">
        <v>86400</v>
      </c>
      <c r="C11" s="2">
        <v>2E-3</v>
      </c>
      <c r="D11" s="3"/>
      <c r="E11" s="3"/>
      <c r="F11" s="3"/>
    </row>
    <row r="13" spans="1:6" x14ac:dyDescent="0.25">
      <c r="A13" s="1" t="s">
        <v>8</v>
      </c>
      <c r="B13" s="3"/>
      <c r="C13" s="5"/>
      <c r="D13" s="3"/>
      <c r="E13" s="3"/>
      <c r="F13" s="3"/>
    </row>
    <row r="19" spans="1:4" x14ac:dyDescent="0.25">
      <c r="A19" s="6"/>
      <c r="B19" s="6"/>
      <c r="C19" s="6"/>
    </row>
    <row r="20" spans="1:4" x14ac:dyDescent="0.25">
      <c r="A20" s="6"/>
      <c r="B20" s="6"/>
      <c r="C20" s="6"/>
    </row>
    <row r="21" spans="1:4" x14ac:dyDescent="0.25">
      <c r="A21" s="6"/>
      <c r="B21" s="6"/>
      <c r="C21" s="6"/>
      <c r="D21" s="6"/>
    </row>
    <row r="22" spans="1:4" x14ac:dyDescent="0.25">
      <c r="A22" s="6"/>
      <c r="B22" s="6"/>
      <c r="C22" s="6"/>
    </row>
    <row r="24" spans="1:4" x14ac:dyDescent="0.25">
      <c r="B24" s="4"/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workbookViewId="0">
      <selection activeCell="F16" sqref="F16"/>
    </sheetView>
  </sheetViews>
  <sheetFormatPr baseColWidth="10" defaultRowHeight="15" x14ac:dyDescent="0.25"/>
  <cols>
    <col min="1" max="1" width="9.85546875" bestFit="1" customWidth="1"/>
    <col min="2" max="2" width="12.140625" customWidth="1"/>
    <col min="3" max="3" width="20.7109375" bestFit="1" customWidth="1"/>
    <col min="4" max="4" width="14.7109375" bestFit="1" customWidth="1"/>
    <col min="5" max="5" width="17.28515625" bestFit="1" customWidth="1"/>
    <col min="6" max="6" width="16.7109375" bestFit="1" customWidth="1"/>
  </cols>
  <sheetData>
    <row r="1" spans="1:6" x14ac:dyDescent="0.25">
      <c r="C1" s="7" t="s">
        <v>0</v>
      </c>
    </row>
    <row r="2" spans="1:6" x14ac:dyDescent="0.25">
      <c r="C2" s="1" t="s">
        <v>9</v>
      </c>
      <c r="D2" s="1" t="s">
        <v>1</v>
      </c>
    </row>
    <row r="3" spans="1:6" x14ac:dyDescent="0.25">
      <c r="C3" s="1" t="s">
        <v>10</v>
      </c>
      <c r="D3" s="2">
        <v>3.5000000000000003E-2</v>
      </c>
    </row>
    <row r="5" spans="1:6" x14ac:dyDescent="0.25">
      <c r="A5" s="7" t="s">
        <v>2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</row>
    <row r="7" spans="1:6" x14ac:dyDescent="0.25">
      <c r="A7" s="1" t="s">
        <v>3</v>
      </c>
      <c r="B7" s="1">
        <v>120000</v>
      </c>
      <c r="C7" s="2">
        <v>5.0000000000000001E-3</v>
      </c>
      <c r="D7" s="3">
        <f>B7*$D$3</f>
        <v>4200</v>
      </c>
      <c r="E7" s="3">
        <f>B7*C7</f>
        <v>600</v>
      </c>
      <c r="F7" s="3">
        <f>D7+E7</f>
        <v>4800</v>
      </c>
    </row>
    <row r="8" spans="1:6" x14ac:dyDescent="0.25">
      <c r="A8" s="1" t="s">
        <v>4</v>
      </c>
      <c r="B8" s="1">
        <v>56960</v>
      </c>
      <c r="C8" s="2">
        <v>5.0000000000000001E-3</v>
      </c>
      <c r="D8" s="3">
        <f>B8*$D$3</f>
        <v>1993.6000000000001</v>
      </c>
      <c r="E8" s="3">
        <f>B8*C8</f>
        <v>284.8</v>
      </c>
      <c r="F8" s="3">
        <f>D8+E8</f>
        <v>2278.4</v>
      </c>
    </row>
    <row r="9" spans="1:6" x14ac:dyDescent="0.25">
      <c r="A9" s="1" t="s">
        <v>5</v>
      </c>
      <c r="B9" s="1">
        <v>60640</v>
      </c>
      <c r="C9" s="2">
        <v>2E-3</v>
      </c>
      <c r="D9" s="3">
        <f>B9*$D$3</f>
        <v>2122.4</v>
      </c>
      <c r="E9" s="3">
        <f>B9*C9</f>
        <v>121.28</v>
      </c>
      <c r="F9" s="3">
        <f>D9+E9</f>
        <v>2243.6800000000003</v>
      </c>
    </row>
    <row r="10" spans="1:6" x14ac:dyDescent="0.25">
      <c r="A10" s="1" t="s">
        <v>6</v>
      </c>
      <c r="B10" s="1">
        <v>89600</v>
      </c>
      <c r="C10" s="2">
        <v>2E-3</v>
      </c>
      <c r="D10" s="3">
        <f>B10*$D$3</f>
        <v>3136.0000000000005</v>
      </c>
      <c r="E10" s="3">
        <f>B10*C10</f>
        <v>179.20000000000002</v>
      </c>
      <c r="F10" s="3">
        <f>D10+E10</f>
        <v>3315.2000000000003</v>
      </c>
    </row>
    <row r="11" spans="1:6" x14ac:dyDescent="0.25">
      <c r="A11" s="1" t="s">
        <v>7</v>
      </c>
      <c r="B11" s="1">
        <v>86400</v>
      </c>
      <c r="C11" s="2">
        <v>2E-3</v>
      </c>
      <c r="D11" s="3">
        <f>B11*$D$3</f>
        <v>3024.0000000000005</v>
      </c>
      <c r="E11" s="3">
        <f>B11*C11</f>
        <v>172.8</v>
      </c>
      <c r="F11" s="3">
        <f>D11+E11</f>
        <v>3196.8000000000006</v>
      </c>
    </row>
    <row r="13" spans="1:6" x14ac:dyDescent="0.25">
      <c r="A13" s="1" t="s">
        <v>8</v>
      </c>
      <c r="B13" s="3">
        <f>SUM(B7:B11)</f>
        <v>413600</v>
      </c>
      <c r="C13" s="5"/>
      <c r="D13" s="3">
        <f t="shared" ref="D13:F13" si="0">SUM(D7:D11)</f>
        <v>14476</v>
      </c>
      <c r="E13" s="3">
        <f t="shared" si="0"/>
        <v>1358.08</v>
      </c>
      <c r="F13" s="3">
        <f t="shared" si="0"/>
        <v>15834.080000000002</v>
      </c>
    </row>
    <row r="16" spans="1:6" x14ac:dyDescent="0.25">
      <c r="A16" s="8" t="s">
        <v>17</v>
      </c>
      <c r="B16" s="8"/>
      <c r="C16" s="8"/>
      <c r="D16" s="8"/>
    </row>
    <row r="17" spans="1:3" x14ac:dyDescent="0.25">
      <c r="A17" s="9" t="s">
        <v>16</v>
      </c>
      <c r="B17" s="9"/>
      <c r="C17" s="9"/>
    </row>
  </sheetData>
  <sheetProtection password="F0B1" sheet="1" objects="1" scenarios="1"/>
  <mergeCells count="2">
    <mergeCell ref="A16:D16"/>
    <mergeCell ref="A17:C17"/>
  </mergeCells>
  <hyperlinks>
    <hyperlink ref="A17" r:id="rId1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workbookViewId="0">
      <selection activeCell="D1" sqref="D1:H1"/>
    </sheetView>
  </sheetViews>
  <sheetFormatPr baseColWidth="10" defaultRowHeight="15" x14ac:dyDescent="0.25"/>
  <sheetData>
    <row r="1" spans="1:8" x14ac:dyDescent="0.25">
      <c r="A1" s="7" t="s">
        <v>37</v>
      </c>
      <c r="B1" s="7" t="s">
        <v>36</v>
      </c>
      <c r="C1" s="7" t="s">
        <v>35</v>
      </c>
      <c r="D1" s="7" t="s">
        <v>34</v>
      </c>
      <c r="E1" s="7" t="s">
        <v>33</v>
      </c>
      <c r="F1" s="7" t="s">
        <v>23</v>
      </c>
      <c r="G1" s="7" t="s">
        <v>32</v>
      </c>
      <c r="H1" s="7" t="s">
        <v>30</v>
      </c>
    </row>
    <row r="2" spans="1:8" x14ac:dyDescent="0.25">
      <c r="A2" s="1" t="s">
        <v>31</v>
      </c>
      <c r="B2" s="1" t="s">
        <v>26</v>
      </c>
      <c r="C2" s="1">
        <v>200</v>
      </c>
      <c r="D2" s="3"/>
      <c r="E2" s="3"/>
      <c r="F2" s="3"/>
      <c r="G2" s="3"/>
      <c r="H2" s="3"/>
    </row>
    <row r="3" spans="1:8" x14ac:dyDescent="0.25">
      <c r="A3" s="3"/>
      <c r="B3" s="1" t="s">
        <v>24</v>
      </c>
      <c r="C3" s="1">
        <v>150</v>
      </c>
      <c r="D3" s="3"/>
      <c r="E3" s="3"/>
      <c r="F3" s="3"/>
      <c r="G3" s="3"/>
      <c r="H3" s="3"/>
    </row>
    <row r="4" spans="1:8" x14ac:dyDescent="0.25">
      <c r="A4" s="3"/>
      <c r="B4" s="1" t="s">
        <v>22</v>
      </c>
      <c r="C4" s="1">
        <v>500</v>
      </c>
      <c r="D4" s="3"/>
      <c r="E4" s="3"/>
      <c r="F4" s="3"/>
      <c r="G4" s="3"/>
      <c r="H4" s="3"/>
    </row>
    <row r="5" spans="1:8" x14ac:dyDescent="0.25">
      <c r="A5" s="3"/>
      <c r="B5" s="1" t="s">
        <v>21</v>
      </c>
      <c r="C5" s="1">
        <v>800</v>
      </c>
      <c r="D5" s="3"/>
      <c r="E5" s="3"/>
      <c r="F5" s="3"/>
      <c r="G5" s="3"/>
      <c r="H5" s="3"/>
    </row>
    <row r="6" spans="1:8" x14ac:dyDescent="0.25">
      <c r="A6" s="3"/>
      <c r="B6" s="1" t="s">
        <v>20</v>
      </c>
      <c r="C6" s="1">
        <v>1900</v>
      </c>
      <c r="D6" s="3"/>
      <c r="E6" s="3"/>
      <c r="F6" s="3"/>
      <c r="G6" s="3"/>
      <c r="H6" s="3"/>
    </row>
    <row r="7" spans="1:8" x14ac:dyDescent="0.25">
      <c r="A7" s="3"/>
      <c r="B7" s="1" t="s">
        <v>19</v>
      </c>
      <c r="C7" s="1">
        <v>200</v>
      </c>
      <c r="D7" s="3"/>
      <c r="E7" s="3"/>
      <c r="F7" s="3"/>
      <c r="G7" s="3"/>
      <c r="H7" s="3"/>
    </row>
    <row r="8" spans="1:8" x14ac:dyDescent="0.25">
      <c r="A8" s="3"/>
      <c r="B8" s="1" t="s">
        <v>18</v>
      </c>
      <c r="C8" s="1">
        <v>150</v>
      </c>
      <c r="D8" s="3"/>
      <c r="E8" s="3"/>
      <c r="F8" s="3"/>
      <c r="G8" s="3"/>
      <c r="H8" s="3"/>
    </row>
    <row r="9" spans="1:8" x14ac:dyDescent="0.25">
      <c r="G9" s="1" t="s">
        <v>30</v>
      </c>
      <c r="H9" s="3"/>
    </row>
    <row r="11" spans="1:8" x14ac:dyDescent="0.25">
      <c r="A11" s="7" t="s">
        <v>29</v>
      </c>
      <c r="B11" s="7" t="s">
        <v>28</v>
      </c>
      <c r="D11" s="14" t="s">
        <v>27</v>
      </c>
      <c r="E11" s="13"/>
    </row>
    <row r="12" spans="1:8" x14ac:dyDescent="0.25">
      <c r="A12" s="1" t="s">
        <v>26</v>
      </c>
      <c r="B12" s="10">
        <v>0.3</v>
      </c>
      <c r="D12" s="1" t="s">
        <v>25</v>
      </c>
      <c r="E12" s="12">
        <v>0.02</v>
      </c>
    </row>
    <row r="13" spans="1:8" x14ac:dyDescent="0.25">
      <c r="A13" s="1" t="s">
        <v>24</v>
      </c>
      <c r="B13" s="10">
        <v>0.15</v>
      </c>
      <c r="D13" s="1" t="s">
        <v>23</v>
      </c>
      <c r="E13" s="12">
        <v>0.21</v>
      </c>
    </row>
    <row r="14" spans="1:8" x14ac:dyDescent="0.25">
      <c r="A14" s="1" t="s">
        <v>22</v>
      </c>
      <c r="B14" s="10">
        <v>0.08</v>
      </c>
    </row>
    <row r="15" spans="1:8" x14ac:dyDescent="0.25">
      <c r="A15" s="1" t="s">
        <v>21</v>
      </c>
      <c r="B15" s="10">
        <v>0.45</v>
      </c>
      <c r="C15" s="5"/>
      <c r="D15" s="5"/>
      <c r="E15" s="5"/>
      <c r="F15" s="5"/>
      <c r="G15" s="5"/>
      <c r="H15" s="5"/>
    </row>
    <row r="16" spans="1:8" x14ac:dyDescent="0.25">
      <c r="A16" s="1" t="s">
        <v>20</v>
      </c>
      <c r="B16" s="10">
        <v>0.5</v>
      </c>
      <c r="C16" s="11"/>
      <c r="D16" s="11"/>
      <c r="E16" s="11"/>
      <c r="F16" s="11"/>
      <c r="G16" s="11"/>
      <c r="H16" s="11"/>
    </row>
    <row r="17" spans="1:2" x14ac:dyDescent="0.25">
      <c r="A17" s="1" t="s">
        <v>19</v>
      </c>
      <c r="B17" s="10">
        <v>0.3</v>
      </c>
    </row>
    <row r="18" spans="1:2" x14ac:dyDescent="0.25">
      <c r="A18" s="1" t="s">
        <v>18</v>
      </c>
      <c r="B18" s="10">
        <v>0.25</v>
      </c>
    </row>
  </sheetData>
  <mergeCells count="1">
    <mergeCell ref="D11:E1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"/>
  <sheetViews>
    <sheetView workbookViewId="0">
      <selection activeCell="D1" sqref="D1:H1"/>
    </sheetView>
  </sheetViews>
  <sheetFormatPr baseColWidth="10" defaultRowHeight="15" x14ac:dyDescent="0.25"/>
  <sheetData>
    <row r="1" spans="1:8" x14ac:dyDescent="0.25">
      <c r="A1" s="7" t="s">
        <v>37</v>
      </c>
      <c r="B1" s="7" t="s">
        <v>36</v>
      </c>
      <c r="C1" s="7" t="s">
        <v>35</v>
      </c>
      <c r="D1" s="7" t="s">
        <v>34</v>
      </c>
      <c r="E1" s="7" t="s">
        <v>33</v>
      </c>
      <c r="F1" s="7" t="s">
        <v>23</v>
      </c>
      <c r="G1" s="7" t="s">
        <v>32</v>
      </c>
      <c r="H1" s="7" t="s">
        <v>30</v>
      </c>
    </row>
    <row r="2" spans="1:8" x14ac:dyDescent="0.25">
      <c r="A2" s="1" t="s">
        <v>31</v>
      </c>
      <c r="B2" s="1" t="s">
        <v>26</v>
      </c>
      <c r="C2" s="1">
        <v>200</v>
      </c>
      <c r="D2" s="15">
        <f>C2*B12</f>
        <v>60</v>
      </c>
      <c r="E2" s="15">
        <f>D2*$E$12</f>
        <v>1.2</v>
      </c>
      <c r="F2" s="15">
        <f>D2*$E$13</f>
        <v>12.6</v>
      </c>
      <c r="G2" s="15">
        <f>D2+F2</f>
        <v>72.599999999999994</v>
      </c>
      <c r="H2" s="15">
        <f>G2-E2</f>
        <v>71.399999999999991</v>
      </c>
    </row>
    <row r="3" spans="1:8" x14ac:dyDescent="0.25">
      <c r="A3" s="3" t="s">
        <v>43</v>
      </c>
      <c r="B3" s="1" t="s">
        <v>24</v>
      </c>
      <c r="C3" s="1">
        <v>150</v>
      </c>
      <c r="D3" s="15">
        <f>C3*B13</f>
        <v>22.5</v>
      </c>
      <c r="E3" s="15">
        <f>D3*$E$12</f>
        <v>0.45</v>
      </c>
      <c r="F3" s="15">
        <f>D3*$E$13</f>
        <v>4.7249999999999996</v>
      </c>
      <c r="G3" s="15">
        <f>D3+F3</f>
        <v>27.225000000000001</v>
      </c>
      <c r="H3" s="15">
        <f>G3-E3</f>
        <v>26.775000000000002</v>
      </c>
    </row>
    <row r="4" spans="1:8" x14ac:dyDescent="0.25">
      <c r="A4" s="3" t="s">
        <v>42</v>
      </c>
      <c r="B4" s="1" t="s">
        <v>22</v>
      </c>
      <c r="C4" s="1">
        <v>500</v>
      </c>
      <c r="D4" s="15">
        <f>C4*B14</f>
        <v>40</v>
      </c>
      <c r="E4" s="15">
        <f>D4*$E$12</f>
        <v>0.8</v>
      </c>
      <c r="F4" s="15">
        <f>D4*$E$13</f>
        <v>8.4</v>
      </c>
      <c r="G4" s="15">
        <f>D4+F4</f>
        <v>48.4</v>
      </c>
      <c r="H4" s="15">
        <f>G4-E4</f>
        <v>47.6</v>
      </c>
    </row>
    <row r="5" spans="1:8" x14ac:dyDescent="0.25">
      <c r="A5" s="3" t="s">
        <v>41</v>
      </c>
      <c r="B5" s="1" t="s">
        <v>21</v>
      </c>
      <c r="C5" s="1">
        <v>800</v>
      </c>
      <c r="D5" s="15">
        <f>C5*B15</f>
        <v>360</v>
      </c>
      <c r="E5" s="15">
        <f>D5*$E$12</f>
        <v>7.2</v>
      </c>
      <c r="F5" s="15">
        <f>D5*$E$13</f>
        <v>75.599999999999994</v>
      </c>
      <c r="G5" s="15">
        <f>D5+F5</f>
        <v>435.6</v>
      </c>
      <c r="H5" s="15">
        <f>G5-E5</f>
        <v>428.40000000000003</v>
      </c>
    </row>
    <row r="6" spans="1:8" x14ac:dyDescent="0.25">
      <c r="A6" s="3" t="s">
        <v>40</v>
      </c>
      <c r="B6" s="1" t="s">
        <v>20</v>
      </c>
      <c r="C6" s="1">
        <v>1900</v>
      </c>
      <c r="D6" s="15">
        <f>C6*B16</f>
        <v>950</v>
      </c>
      <c r="E6" s="15">
        <f>D6*$E$12</f>
        <v>19</v>
      </c>
      <c r="F6" s="15">
        <f>D6*$E$13</f>
        <v>199.5</v>
      </c>
      <c r="G6" s="15">
        <f>D6+F6</f>
        <v>1149.5</v>
      </c>
      <c r="H6" s="15">
        <f>G6-E6</f>
        <v>1130.5</v>
      </c>
    </row>
    <row r="7" spans="1:8" x14ac:dyDescent="0.25">
      <c r="A7" s="3" t="s">
        <v>39</v>
      </c>
      <c r="B7" s="1" t="s">
        <v>19</v>
      </c>
      <c r="C7" s="1">
        <v>200</v>
      </c>
      <c r="D7" s="15">
        <f>C7*B17</f>
        <v>60</v>
      </c>
      <c r="E7" s="15">
        <f>D7*$E$12</f>
        <v>1.2</v>
      </c>
      <c r="F7" s="15">
        <f>D7*$E$13</f>
        <v>12.6</v>
      </c>
      <c r="G7" s="15">
        <f>D7+F7</f>
        <v>72.599999999999994</v>
      </c>
      <c r="H7" s="15">
        <f>G7-E7</f>
        <v>71.399999999999991</v>
      </c>
    </row>
    <row r="8" spans="1:8" x14ac:dyDescent="0.25">
      <c r="A8" s="3" t="s">
        <v>38</v>
      </c>
      <c r="B8" s="1" t="s">
        <v>18</v>
      </c>
      <c r="C8" s="1">
        <v>150</v>
      </c>
      <c r="D8" s="15">
        <f>C8*B18</f>
        <v>37.5</v>
      </c>
      <c r="E8" s="15">
        <f>D8*$E$12</f>
        <v>0.75</v>
      </c>
      <c r="F8" s="15">
        <f>D8*$E$13</f>
        <v>7.875</v>
      </c>
      <c r="G8" s="15">
        <f>D8+F8</f>
        <v>45.375</v>
      </c>
      <c r="H8" s="15">
        <f>G8-E8</f>
        <v>44.625</v>
      </c>
    </row>
    <row r="9" spans="1:8" x14ac:dyDescent="0.25">
      <c r="G9" s="1" t="s">
        <v>30</v>
      </c>
      <c r="H9" s="15">
        <f>SUM(H2:H8)</f>
        <v>1820.7000000000003</v>
      </c>
    </row>
    <row r="11" spans="1:8" x14ac:dyDescent="0.25">
      <c r="A11" s="7" t="s">
        <v>29</v>
      </c>
      <c r="B11" s="7" t="s">
        <v>28</v>
      </c>
      <c r="D11" s="14" t="s">
        <v>27</v>
      </c>
      <c r="E11" s="13"/>
    </row>
    <row r="12" spans="1:8" x14ac:dyDescent="0.25">
      <c r="A12" s="1" t="s">
        <v>26</v>
      </c>
      <c r="B12" s="10">
        <v>0.3</v>
      </c>
      <c r="D12" s="1" t="s">
        <v>25</v>
      </c>
      <c r="E12" s="12">
        <v>0.02</v>
      </c>
    </row>
    <row r="13" spans="1:8" x14ac:dyDescent="0.25">
      <c r="A13" s="1" t="s">
        <v>24</v>
      </c>
      <c r="B13" s="10">
        <v>0.15</v>
      </c>
      <c r="D13" s="1" t="s">
        <v>23</v>
      </c>
      <c r="E13" s="12">
        <v>0.21</v>
      </c>
    </row>
    <row r="14" spans="1:8" x14ac:dyDescent="0.25">
      <c r="A14" s="1" t="s">
        <v>22</v>
      </c>
      <c r="B14" s="10">
        <v>0.08</v>
      </c>
    </row>
    <row r="15" spans="1:8" x14ac:dyDescent="0.25">
      <c r="A15" s="1" t="s">
        <v>21</v>
      </c>
      <c r="B15" s="10">
        <v>0.45</v>
      </c>
    </row>
    <row r="16" spans="1:8" x14ac:dyDescent="0.25">
      <c r="A16" s="1" t="s">
        <v>20</v>
      </c>
      <c r="B16" s="10">
        <v>0.5</v>
      </c>
    </row>
    <row r="17" spans="1:4" x14ac:dyDescent="0.25">
      <c r="A17" s="1" t="s">
        <v>19</v>
      </c>
      <c r="B17" s="10">
        <v>0.3</v>
      </c>
    </row>
    <row r="18" spans="1:4" x14ac:dyDescent="0.25">
      <c r="A18" s="1" t="s">
        <v>18</v>
      </c>
      <c r="B18" s="10">
        <v>0.25</v>
      </c>
    </row>
    <row r="23" spans="1:4" x14ac:dyDescent="0.25">
      <c r="A23" s="8" t="s">
        <v>17</v>
      </c>
      <c r="B23" s="8"/>
      <c r="C23" s="8"/>
      <c r="D23" s="8"/>
    </row>
    <row r="24" spans="1:4" x14ac:dyDescent="0.25">
      <c r="A24" s="9" t="s">
        <v>16</v>
      </c>
      <c r="B24" s="9"/>
      <c r="C24" s="9"/>
    </row>
  </sheetData>
  <mergeCells count="3">
    <mergeCell ref="A23:D23"/>
    <mergeCell ref="A24:C24"/>
    <mergeCell ref="D11:E11"/>
  </mergeCells>
  <hyperlinks>
    <hyperlink ref="A24" r:id="rId1"/>
  </hyperlinks>
  <pageMargins left="0.7" right="0.7" top="0.75" bottom="0.75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5"/>
  <sheetViews>
    <sheetView topLeftCell="A7" workbookViewId="0">
      <selection activeCell="A22" sqref="A22"/>
    </sheetView>
  </sheetViews>
  <sheetFormatPr baseColWidth="10" defaultRowHeight="15" x14ac:dyDescent="0.25"/>
  <cols>
    <col min="1" max="1" width="13.42578125" bestFit="1" customWidth="1"/>
    <col min="3" max="3" width="10.28515625" customWidth="1"/>
    <col min="4" max="4" width="12.5703125" bestFit="1" customWidth="1"/>
  </cols>
  <sheetData>
    <row r="1" spans="1:8" ht="15.75" x14ac:dyDescent="0.3">
      <c r="A1" s="45" t="s">
        <v>70</v>
      </c>
      <c r="B1" s="45"/>
      <c r="C1" s="45"/>
      <c r="D1" s="45"/>
      <c r="E1" s="45"/>
      <c r="F1" s="44"/>
      <c r="G1" s="44"/>
      <c r="H1" s="44"/>
    </row>
    <row r="2" spans="1:8" ht="15.75" x14ac:dyDescent="0.3">
      <c r="A2" s="43" t="s">
        <v>69</v>
      </c>
      <c r="B2" s="42"/>
      <c r="C2" s="20"/>
      <c r="D2" s="41" t="s">
        <v>68</v>
      </c>
      <c r="E2" s="40"/>
      <c r="F2" s="20"/>
      <c r="G2" s="39"/>
      <c r="H2" s="39"/>
    </row>
    <row r="3" spans="1:8" ht="15.75" x14ac:dyDescent="0.3">
      <c r="A3" s="38" t="s">
        <v>67</v>
      </c>
      <c r="B3" s="37">
        <v>0.08</v>
      </c>
      <c r="C3" s="21"/>
      <c r="D3" s="38" t="s">
        <v>66</v>
      </c>
      <c r="E3" s="37">
        <v>7.0000000000000007E-2</v>
      </c>
      <c r="F3" s="21"/>
      <c r="G3" s="36"/>
      <c r="H3" s="35"/>
    </row>
    <row r="4" spans="1:8" x14ac:dyDescent="0.25">
      <c r="A4" s="32" t="s">
        <v>65</v>
      </c>
      <c r="B4" s="34">
        <v>21</v>
      </c>
      <c r="C4" s="22"/>
      <c r="D4" s="32" t="s">
        <v>64</v>
      </c>
      <c r="E4" s="34">
        <v>14</v>
      </c>
      <c r="F4" s="22"/>
      <c r="G4" s="30"/>
      <c r="H4" s="33"/>
    </row>
    <row r="5" spans="1:8" x14ac:dyDescent="0.25">
      <c r="A5" s="32" t="s">
        <v>63</v>
      </c>
      <c r="B5" s="31">
        <v>0.05</v>
      </c>
      <c r="C5" s="22"/>
      <c r="D5" s="32" t="s">
        <v>62</v>
      </c>
      <c r="E5" s="31">
        <v>7.0000000000000007E-2</v>
      </c>
      <c r="F5" s="22"/>
      <c r="G5" s="30"/>
      <c r="H5" s="30"/>
    </row>
    <row r="6" spans="1:8" x14ac:dyDescent="0.25">
      <c r="A6" s="20"/>
      <c r="B6" s="20"/>
      <c r="C6" s="20"/>
      <c r="D6" s="20"/>
      <c r="E6" s="20"/>
      <c r="F6" s="20"/>
      <c r="G6" s="20"/>
      <c r="H6" s="20"/>
    </row>
    <row r="7" spans="1:8" x14ac:dyDescent="0.25">
      <c r="A7" s="20"/>
      <c r="B7" s="20"/>
      <c r="C7" s="20"/>
      <c r="D7" s="20"/>
      <c r="E7" s="20"/>
      <c r="F7" s="20"/>
      <c r="G7" s="20"/>
      <c r="H7" s="20"/>
    </row>
    <row r="8" spans="1:8" ht="15.75" thickBot="1" x14ac:dyDescent="0.3">
      <c r="A8" s="20"/>
      <c r="B8" s="20"/>
      <c r="C8" s="20"/>
      <c r="D8" s="20"/>
      <c r="E8" s="20"/>
      <c r="F8" s="20"/>
      <c r="G8" s="20"/>
      <c r="H8" s="20"/>
    </row>
    <row r="9" spans="1:8" ht="16.5" thickBot="1" x14ac:dyDescent="0.35">
      <c r="A9" s="20"/>
      <c r="B9" s="29" t="s">
        <v>1</v>
      </c>
      <c r="C9" s="28" t="s">
        <v>61</v>
      </c>
      <c r="D9" s="28" t="s">
        <v>60</v>
      </c>
      <c r="E9" s="28" t="s">
        <v>59</v>
      </c>
      <c r="F9" s="28" t="s">
        <v>58</v>
      </c>
      <c r="G9" s="28" t="s">
        <v>57</v>
      </c>
      <c r="H9" s="27" t="s">
        <v>30</v>
      </c>
    </row>
    <row r="10" spans="1:8" ht="15.75" x14ac:dyDescent="0.3">
      <c r="A10" s="21" t="s">
        <v>56</v>
      </c>
      <c r="B10" s="20"/>
      <c r="C10" s="20"/>
      <c r="D10" s="20"/>
      <c r="E10" s="20"/>
      <c r="F10" s="20"/>
      <c r="G10" s="20"/>
      <c r="H10" s="20"/>
    </row>
    <row r="11" spans="1:8" x14ac:dyDescent="0.25">
      <c r="A11" s="18" t="s">
        <v>55</v>
      </c>
      <c r="B11" s="25">
        <v>500</v>
      </c>
      <c r="C11" s="19"/>
      <c r="D11" s="19"/>
      <c r="E11" s="19"/>
      <c r="F11" s="19"/>
      <c r="G11" s="19"/>
      <c r="H11" s="19"/>
    </row>
    <row r="12" spans="1:8" x14ac:dyDescent="0.25">
      <c r="A12" s="18" t="s">
        <v>54</v>
      </c>
      <c r="B12" s="23"/>
      <c r="C12" s="23"/>
      <c r="D12" s="23"/>
      <c r="E12" s="23"/>
      <c r="F12" s="23"/>
      <c r="G12" s="23"/>
      <c r="H12" s="23"/>
    </row>
    <row r="13" spans="1:8" x14ac:dyDescent="0.25">
      <c r="A13" s="18" t="s">
        <v>49</v>
      </c>
      <c r="B13" s="23"/>
      <c r="C13" s="23"/>
      <c r="D13" s="23"/>
      <c r="E13" s="23"/>
      <c r="F13" s="23"/>
      <c r="G13" s="23"/>
      <c r="H13" s="23"/>
    </row>
    <row r="14" spans="1:8" x14ac:dyDescent="0.25">
      <c r="A14" s="18" t="s">
        <v>53</v>
      </c>
      <c r="B14" s="23"/>
      <c r="C14" s="23"/>
      <c r="D14" s="23"/>
      <c r="E14" s="23"/>
      <c r="F14" s="23"/>
      <c r="G14" s="23"/>
      <c r="H14" s="23"/>
    </row>
    <row r="15" spans="1:8" x14ac:dyDescent="0.25">
      <c r="A15" s="20"/>
      <c r="B15" s="22"/>
      <c r="C15" s="22"/>
      <c r="D15" s="22"/>
      <c r="E15" s="22"/>
      <c r="F15" s="22"/>
      <c r="G15" s="22"/>
      <c r="H15" s="22"/>
    </row>
    <row r="16" spans="1:8" ht="15.75" x14ac:dyDescent="0.3">
      <c r="A16" s="26" t="s">
        <v>52</v>
      </c>
      <c r="B16" s="22"/>
      <c r="C16" s="22"/>
      <c r="D16" s="22"/>
      <c r="E16" s="22"/>
      <c r="F16" s="22"/>
      <c r="G16" s="22"/>
      <c r="H16" s="22"/>
    </row>
    <row r="17" spans="1:8" x14ac:dyDescent="0.25">
      <c r="A17" s="24" t="s">
        <v>51</v>
      </c>
      <c r="B17" s="25">
        <v>350</v>
      </c>
      <c r="C17" s="19"/>
      <c r="D17" s="19"/>
      <c r="E17" s="19"/>
      <c r="F17" s="19"/>
      <c r="G17" s="19"/>
      <c r="H17" s="19"/>
    </row>
    <row r="18" spans="1:8" x14ac:dyDescent="0.25">
      <c r="A18" s="24" t="s">
        <v>50</v>
      </c>
      <c r="B18" s="23"/>
      <c r="C18" s="23"/>
      <c r="D18" s="23"/>
      <c r="E18" s="23"/>
      <c r="F18" s="23"/>
      <c r="G18" s="23"/>
      <c r="H18" s="16"/>
    </row>
    <row r="19" spans="1:8" x14ac:dyDescent="0.25">
      <c r="A19" s="24" t="s">
        <v>49</v>
      </c>
      <c r="B19" s="23"/>
      <c r="C19" s="23"/>
      <c r="D19" s="23"/>
      <c r="E19" s="23"/>
      <c r="F19" s="23"/>
      <c r="G19" s="23"/>
      <c r="H19" s="16"/>
    </row>
    <row r="20" spans="1:8" x14ac:dyDescent="0.25">
      <c r="A20" s="18" t="s">
        <v>48</v>
      </c>
      <c r="B20" s="23"/>
      <c r="C20" s="23"/>
      <c r="D20" s="23"/>
      <c r="E20" s="23"/>
      <c r="F20" s="23"/>
      <c r="G20" s="23"/>
      <c r="H20" s="16"/>
    </row>
    <row r="21" spans="1:8" x14ac:dyDescent="0.25">
      <c r="A21" s="20"/>
      <c r="B21" s="22"/>
      <c r="C21" s="22"/>
      <c r="D21" s="22"/>
      <c r="E21" s="22"/>
      <c r="F21" s="22"/>
      <c r="G21" s="22"/>
    </row>
    <row r="22" spans="1:8" ht="15.75" x14ac:dyDescent="0.3">
      <c r="A22" s="21" t="s">
        <v>47</v>
      </c>
      <c r="B22" s="20"/>
      <c r="C22" s="20"/>
      <c r="D22" s="20"/>
      <c r="E22" s="20"/>
      <c r="F22" s="20"/>
      <c r="G22" s="20"/>
    </row>
    <row r="23" spans="1:8" x14ac:dyDescent="0.25">
      <c r="A23" s="18" t="s">
        <v>46</v>
      </c>
      <c r="B23" s="17"/>
      <c r="C23" s="17"/>
      <c r="D23" s="17"/>
      <c r="E23" s="17"/>
      <c r="F23" s="17"/>
      <c r="G23" s="17"/>
      <c r="H23" s="19"/>
    </row>
    <row r="24" spans="1:8" x14ac:dyDescent="0.25">
      <c r="A24" s="18" t="s">
        <v>45</v>
      </c>
      <c r="B24" s="17"/>
      <c r="C24" s="17"/>
      <c r="D24" s="17"/>
      <c r="E24" s="17"/>
      <c r="F24" s="17"/>
      <c r="G24" s="17"/>
      <c r="H24" s="19"/>
    </row>
    <row r="25" spans="1:8" x14ac:dyDescent="0.25">
      <c r="A25" s="18" t="s">
        <v>44</v>
      </c>
      <c r="B25" s="17"/>
      <c r="C25" s="17"/>
      <c r="D25" s="17"/>
      <c r="E25" s="17"/>
      <c r="F25" s="17"/>
      <c r="G25" s="17"/>
      <c r="H25" s="16"/>
    </row>
  </sheetData>
  <mergeCells count="3">
    <mergeCell ref="A2:B2"/>
    <mergeCell ref="D2:E2"/>
    <mergeCell ref="A1:E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5"/>
  <sheetViews>
    <sheetView workbookViewId="0">
      <selection activeCell="A22" sqref="A22"/>
    </sheetView>
  </sheetViews>
  <sheetFormatPr baseColWidth="10" defaultRowHeight="15" x14ac:dyDescent="0.25"/>
  <cols>
    <col min="4" max="4" width="12.5703125" bestFit="1" customWidth="1"/>
  </cols>
  <sheetData>
    <row r="1" spans="1:8" ht="15.75" x14ac:dyDescent="0.3">
      <c r="A1" s="45" t="s">
        <v>70</v>
      </c>
      <c r="B1" s="45"/>
      <c r="C1" s="45"/>
      <c r="D1" s="45"/>
      <c r="E1" s="45"/>
      <c r="F1" s="44"/>
      <c r="G1" s="44"/>
      <c r="H1" s="44"/>
    </row>
    <row r="2" spans="1:8" ht="15.75" x14ac:dyDescent="0.3">
      <c r="A2" s="43" t="s">
        <v>69</v>
      </c>
      <c r="B2" s="42"/>
      <c r="C2" s="20"/>
      <c r="D2" s="41" t="s">
        <v>68</v>
      </c>
      <c r="E2" s="40"/>
      <c r="F2" s="20"/>
      <c r="G2" s="39"/>
      <c r="H2" s="39"/>
    </row>
    <row r="3" spans="1:8" ht="15.75" x14ac:dyDescent="0.3">
      <c r="A3" s="38" t="s">
        <v>67</v>
      </c>
      <c r="B3" s="37">
        <v>0.08</v>
      </c>
      <c r="C3" s="21"/>
      <c r="D3" s="38" t="s">
        <v>66</v>
      </c>
      <c r="E3" s="37">
        <v>7.0000000000000007E-2</v>
      </c>
      <c r="F3" s="21"/>
      <c r="G3" s="36"/>
      <c r="H3" s="35"/>
    </row>
    <row r="4" spans="1:8" x14ac:dyDescent="0.25">
      <c r="A4" s="32" t="s">
        <v>65</v>
      </c>
      <c r="B4" s="34">
        <v>21</v>
      </c>
      <c r="C4" s="22"/>
      <c r="D4" s="32" t="s">
        <v>64</v>
      </c>
      <c r="E4" s="34">
        <v>14</v>
      </c>
      <c r="F4" s="22"/>
      <c r="G4" s="30"/>
      <c r="H4" s="33"/>
    </row>
    <row r="5" spans="1:8" x14ac:dyDescent="0.25">
      <c r="A5" s="32" t="s">
        <v>63</v>
      </c>
      <c r="B5" s="31">
        <v>0.05</v>
      </c>
      <c r="C5" s="22"/>
      <c r="D5" s="32" t="s">
        <v>62</v>
      </c>
      <c r="E5" s="31">
        <v>7.0000000000000007E-2</v>
      </c>
      <c r="F5" s="22"/>
      <c r="G5" s="30"/>
      <c r="H5" s="30"/>
    </row>
    <row r="6" spans="1:8" x14ac:dyDescent="0.25">
      <c r="A6" s="20"/>
      <c r="B6" s="20"/>
      <c r="C6" s="20"/>
      <c r="D6" s="20"/>
      <c r="E6" s="20"/>
      <c r="F6" s="20"/>
      <c r="G6" s="20"/>
      <c r="H6" s="20"/>
    </row>
    <row r="7" spans="1:8" x14ac:dyDescent="0.25">
      <c r="A7" s="20"/>
      <c r="B7" s="20"/>
      <c r="C7" s="20"/>
      <c r="D7" s="20"/>
      <c r="E7" s="20"/>
      <c r="F7" s="20"/>
      <c r="G7" s="20"/>
      <c r="H7" s="20"/>
    </row>
    <row r="8" spans="1:8" ht="15.75" thickBot="1" x14ac:dyDescent="0.3">
      <c r="A8" s="20"/>
      <c r="B8" s="20"/>
      <c r="C8" s="20"/>
      <c r="D8" s="20"/>
      <c r="E8" s="20"/>
      <c r="F8" s="20"/>
      <c r="G8" s="20"/>
      <c r="H8" s="20"/>
    </row>
    <row r="9" spans="1:8" ht="16.5" thickBot="1" x14ac:dyDescent="0.35">
      <c r="A9" s="20"/>
      <c r="B9" s="29" t="s">
        <v>1</v>
      </c>
      <c r="C9" s="28" t="s">
        <v>61</v>
      </c>
      <c r="D9" s="28" t="s">
        <v>60</v>
      </c>
      <c r="E9" s="28" t="s">
        <v>59</v>
      </c>
      <c r="F9" s="28" t="s">
        <v>58</v>
      </c>
      <c r="G9" s="28" t="s">
        <v>57</v>
      </c>
      <c r="H9" s="27" t="s">
        <v>30</v>
      </c>
    </row>
    <row r="10" spans="1:8" ht="15.75" x14ac:dyDescent="0.3">
      <c r="A10" s="21" t="s">
        <v>56</v>
      </c>
      <c r="B10" s="20"/>
      <c r="C10" s="20"/>
      <c r="D10" s="20"/>
      <c r="E10" s="20"/>
      <c r="F10" s="20"/>
      <c r="G10" s="20"/>
      <c r="H10" s="20"/>
    </row>
    <row r="11" spans="1:8" x14ac:dyDescent="0.25">
      <c r="A11" s="18" t="s">
        <v>55</v>
      </c>
      <c r="B11" s="25">
        <v>500</v>
      </c>
      <c r="C11" s="19">
        <f>B11+(B11*$B$3)</f>
        <v>540</v>
      </c>
      <c r="D11" s="19">
        <f>C11+(C11*$B$3)</f>
        <v>583.20000000000005</v>
      </c>
      <c r="E11" s="19">
        <f>D11+(D11*$B$3)</f>
        <v>629.85599999999999</v>
      </c>
      <c r="F11" s="19">
        <f>E11+(E11*$B$3)</f>
        <v>680.24447999999995</v>
      </c>
      <c r="G11" s="19">
        <f>F11+(F11*$B$3)</f>
        <v>734.66403839999998</v>
      </c>
      <c r="H11" s="19">
        <f>SUM(B11:G11)</f>
        <v>3667.9645184000001</v>
      </c>
    </row>
    <row r="12" spans="1:8" x14ac:dyDescent="0.25">
      <c r="A12" s="18" t="s">
        <v>54</v>
      </c>
      <c r="B12" s="23">
        <f>B11*$B$4</f>
        <v>10500</v>
      </c>
      <c r="C12" s="23">
        <f>C11*$B$4</f>
        <v>11340</v>
      </c>
      <c r="D12" s="23">
        <f>D11*$B$4</f>
        <v>12247.2</v>
      </c>
      <c r="E12" s="23">
        <f>E11*$B$4</f>
        <v>13226.976000000001</v>
      </c>
      <c r="F12" s="23">
        <f>F11*$B$4</f>
        <v>14285.13408</v>
      </c>
      <c r="G12" s="23">
        <f>G11*$B$4</f>
        <v>15427.944806399999</v>
      </c>
      <c r="H12" s="23">
        <f>SUM(B12:G12)</f>
        <v>77027.254886399998</v>
      </c>
    </row>
    <row r="13" spans="1:8" x14ac:dyDescent="0.25">
      <c r="A13" s="18" t="s">
        <v>49</v>
      </c>
      <c r="B13" s="23">
        <f>B12*$B$5</f>
        <v>525</v>
      </c>
      <c r="C13" s="23">
        <f>C12*$B$5</f>
        <v>567</v>
      </c>
      <c r="D13" s="23">
        <f>D12*$B$5</f>
        <v>612.36</v>
      </c>
      <c r="E13" s="23">
        <f>E12*$B$5</f>
        <v>661.3488000000001</v>
      </c>
      <c r="F13" s="23">
        <f>F12*$B$5</f>
        <v>714.25670400000001</v>
      </c>
      <c r="G13" s="23">
        <f>G12*$B$5</f>
        <v>771.39724032000004</v>
      </c>
      <c r="H13" s="23">
        <f>SUM(B13:G13)</f>
        <v>3851.3627443200003</v>
      </c>
    </row>
    <row r="14" spans="1:8" x14ac:dyDescent="0.25">
      <c r="A14" s="18" t="s">
        <v>53</v>
      </c>
      <c r="B14" s="23">
        <f>B12-B13</f>
        <v>9975</v>
      </c>
      <c r="C14" s="23">
        <f>C12-C13</f>
        <v>10773</v>
      </c>
      <c r="D14" s="23">
        <f>D12-D13</f>
        <v>11634.84</v>
      </c>
      <c r="E14" s="23">
        <f>E12-E13</f>
        <v>12565.627200000001</v>
      </c>
      <c r="F14" s="23">
        <f>F12-F13</f>
        <v>13570.877376</v>
      </c>
      <c r="G14" s="23">
        <f>G12-G13</f>
        <v>14656.547566079998</v>
      </c>
      <c r="H14" s="23">
        <f>SUM(B14:G14)</f>
        <v>73175.892142080003</v>
      </c>
    </row>
    <row r="15" spans="1:8" x14ac:dyDescent="0.25">
      <c r="A15" s="20"/>
      <c r="B15" s="22"/>
      <c r="C15" s="22"/>
      <c r="D15" s="22"/>
      <c r="E15" s="22"/>
      <c r="F15" s="22"/>
      <c r="G15" s="22"/>
      <c r="H15" s="46"/>
    </row>
    <row r="16" spans="1:8" ht="15.75" x14ac:dyDescent="0.3">
      <c r="A16" s="26" t="s">
        <v>52</v>
      </c>
      <c r="B16" s="22"/>
      <c r="C16" s="22"/>
      <c r="D16" s="22"/>
      <c r="E16" s="22"/>
      <c r="F16" s="22"/>
      <c r="G16" s="22"/>
      <c r="H16" s="46"/>
    </row>
    <row r="17" spans="1:8" x14ac:dyDescent="0.25">
      <c r="A17" s="24" t="s">
        <v>51</v>
      </c>
      <c r="B17" s="25">
        <v>350</v>
      </c>
      <c r="C17" s="19">
        <f>B17+(B17*$E$3)</f>
        <v>374.5</v>
      </c>
      <c r="D17" s="19">
        <f>C17+(C17*$E$3)</f>
        <v>400.71500000000003</v>
      </c>
      <c r="E17" s="19">
        <f>D17+(D17*$E$3)</f>
        <v>428.76505000000003</v>
      </c>
      <c r="F17" s="19">
        <f>E17+(E17*$E$3)</f>
        <v>458.77860350000003</v>
      </c>
      <c r="G17" s="19">
        <f>F17+(F17*$E$3)</f>
        <v>490.89310574500001</v>
      </c>
      <c r="H17" s="23">
        <f>SUM(B17:G17)</f>
        <v>2503.651759245</v>
      </c>
    </row>
    <row r="18" spans="1:8" x14ac:dyDescent="0.25">
      <c r="A18" s="24" t="s">
        <v>50</v>
      </c>
      <c r="B18" s="23">
        <f>B17*$E$4</f>
        <v>4900</v>
      </c>
      <c r="C18" s="23">
        <f>C17*$E$4</f>
        <v>5243</v>
      </c>
      <c r="D18" s="23">
        <f>D17*$E$4</f>
        <v>5610.01</v>
      </c>
      <c r="E18" s="23">
        <f>E17*$E$4</f>
        <v>6002.7107000000005</v>
      </c>
      <c r="F18" s="23">
        <f>F17*$E$4</f>
        <v>6422.9004490000007</v>
      </c>
      <c r="G18" s="23">
        <f>G17*$E$4</f>
        <v>6872.5034804300003</v>
      </c>
      <c r="H18" s="23">
        <f>SUM(B18:G18)</f>
        <v>35051.12462943</v>
      </c>
    </row>
    <row r="19" spans="1:8" x14ac:dyDescent="0.25">
      <c r="A19" s="24" t="s">
        <v>49</v>
      </c>
      <c r="B19" s="23">
        <f>B18*$E$5</f>
        <v>343.00000000000006</v>
      </c>
      <c r="C19" s="23">
        <f>C18*$E$5</f>
        <v>367.01000000000005</v>
      </c>
      <c r="D19" s="23">
        <f>D18*$E$5</f>
        <v>392.70070000000004</v>
      </c>
      <c r="E19" s="23">
        <f>E18*$E$5</f>
        <v>420.18974900000006</v>
      </c>
      <c r="F19" s="23">
        <f>F18*$E$5</f>
        <v>449.6030314300001</v>
      </c>
      <c r="G19" s="23">
        <f>G18*$E$5</f>
        <v>481.07524363010009</v>
      </c>
      <c r="H19" s="23">
        <f>SUM(B19:G19)</f>
        <v>2453.5787240601003</v>
      </c>
    </row>
    <row r="20" spans="1:8" x14ac:dyDescent="0.25">
      <c r="A20" s="18" t="s">
        <v>48</v>
      </c>
      <c r="B20" s="23">
        <f>B18-B19</f>
        <v>4557</v>
      </c>
      <c r="C20" s="23">
        <f>C18-C19</f>
        <v>4875.99</v>
      </c>
      <c r="D20" s="23">
        <f>D18-D19</f>
        <v>5217.3092999999999</v>
      </c>
      <c r="E20" s="23">
        <f>E18-E19</f>
        <v>5582.5209510000004</v>
      </c>
      <c r="F20" s="23">
        <f>F18-F19</f>
        <v>5973.2974175700001</v>
      </c>
      <c r="G20" s="23">
        <f>G18-G19</f>
        <v>6391.4282367999003</v>
      </c>
      <c r="H20" s="23">
        <f>SUM(B20:G20)</f>
        <v>32597.545905369898</v>
      </c>
    </row>
    <row r="21" spans="1:8" x14ac:dyDescent="0.25">
      <c r="A21" s="20"/>
      <c r="B21" s="22"/>
      <c r="C21" s="22"/>
      <c r="D21" s="22"/>
      <c r="E21" s="22"/>
      <c r="F21" s="22"/>
      <c r="G21" s="22"/>
    </row>
    <row r="22" spans="1:8" ht="15.75" x14ac:dyDescent="0.3">
      <c r="A22" s="21" t="s">
        <v>47</v>
      </c>
      <c r="B22" s="20"/>
      <c r="C22" s="20"/>
      <c r="D22" s="20"/>
      <c r="E22" s="20"/>
      <c r="F22" s="20"/>
      <c r="G22" s="20"/>
    </row>
    <row r="23" spans="1:8" x14ac:dyDescent="0.25">
      <c r="A23" s="18" t="s">
        <v>46</v>
      </c>
      <c r="B23" s="17">
        <f>B14</f>
        <v>9975</v>
      </c>
      <c r="C23" s="17">
        <f>C14</f>
        <v>10773</v>
      </c>
      <c r="D23" s="17">
        <f>D14</f>
        <v>11634.84</v>
      </c>
      <c r="E23" s="17">
        <f>E14</f>
        <v>12565.627200000001</v>
      </c>
      <c r="F23" s="17">
        <f>F14</f>
        <v>13570.877376</v>
      </c>
      <c r="G23" s="17">
        <f>G14</f>
        <v>14656.547566079998</v>
      </c>
      <c r="H23" s="17">
        <f>H14</f>
        <v>73175.892142080003</v>
      </c>
    </row>
    <row r="24" spans="1:8" x14ac:dyDescent="0.25">
      <c r="A24" s="18" t="s">
        <v>45</v>
      </c>
      <c r="B24" s="17">
        <f>B20</f>
        <v>4557</v>
      </c>
      <c r="C24" s="17">
        <f>C20</f>
        <v>4875.99</v>
      </c>
      <c r="D24" s="17">
        <f>D20</f>
        <v>5217.3092999999999</v>
      </c>
      <c r="E24" s="17">
        <f>E20</f>
        <v>5582.5209510000004</v>
      </c>
      <c r="F24" s="17">
        <f>F20</f>
        <v>5973.2974175700001</v>
      </c>
      <c r="G24" s="17">
        <f>G20</f>
        <v>6391.4282367999003</v>
      </c>
      <c r="H24" s="17">
        <f>H20</f>
        <v>32597.545905369898</v>
      </c>
    </row>
    <row r="25" spans="1:8" x14ac:dyDescent="0.25">
      <c r="A25" s="18" t="s">
        <v>44</v>
      </c>
      <c r="B25" s="17">
        <f>B23-B24</f>
        <v>5418</v>
      </c>
      <c r="C25" s="17">
        <f>C23-C24</f>
        <v>5897.01</v>
      </c>
      <c r="D25" s="17">
        <f>D23-D24</f>
        <v>6417.5307000000003</v>
      </c>
      <c r="E25" s="17">
        <f>E23-E24</f>
        <v>6983.1062490000004</v>
      </c>
      <c r="F25" s="17">
        <f>F23-F24</f>
        <v>7597.5799584300003</v>
      </c>
      <c r="G25" s="17">
        <f>G23-G24</f>
        <v>8265.1193292800981</v>
      </c>
      <c r="H25" s="17">
        <f>H23-H24</f>
        <v>40578.346236710102</v>
      </c>
    </row>
  </sheetData>
  <sheetProtection password="F0B1" sheet="1" objects="1" scenarios="1"/>
  <mergeCells count="3">
    <mergeCell ref="A1:E1"/>
    <mergeCell ref="A2:B2"/>
    <mergeCell ref="D2:E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12" sqref="B12"/>
    </sheetView>
  </sheetViews>
  <sheetFormatPr baseColWidth="10" defaultRowHeight="15" x14ac:dyDescent="0.25"/>
  <sheetData>
    <row r="1" spans="1:10" x14ac:dyDescent="0.25">
      <c r="A1" s="48" t="s">
        <v>71</v>
      </c>
      <c r="B1" s="47">
        <v>1</v>
      </c>
      <c r="C1" s="47">
        <v>2</v>
      </c>
      <c r="D1" s="47">
        <v>3</v>
      </c>
      <c r="E1" s="47">
        <v>4</v>
      </c>
      <c r="F1" s="47">
        <v>5</v>
      </c>
      <c r="G1" s="47">
        <v>6</v>
      </c>
      <c r="H1" s="47">
        <v>7</v>
      </c>
      <c r="I1" s="47">
        <v>8</v>
      </c>
      <c r="J1" s="47">
        <v>9</v>
      </c>
    </row>
    <row r="2" spans="1:10" x14ac:dyDescent="0.25">
      <c r="A2" s="47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47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7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7">
        <v>4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47">
        <v>5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47">
        <v>6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47">
        <v>7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47">
        <v>8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47">
        <v>9</v>
      </c>
      <c r="B10" s="3"/>
      <c r="C10" s="3"/>
      <c r="D10" s="3"/>
      <c r="E10" s="3"/>
      <c r="F10" s="3"/>
      <c r="G10" s="3"/>
      <c r="H10" s="3"/>
      <c r="I10" s="3"/>
      <c r="J10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12" sqref="B12"/>
    </sheetView>
  </sheetViews>
  <sheetFormatPr baseColWidth="10" defaultRowHeight="15" x14ac:dyDescent="0.25"/>
  <sheetData>
    <row r="1" spans="1:10" x14ac:dyDescent="0.25">
      <c r="A1" s="48" t="s">
        <v>71</v>
      </c>
      <c r="B1" s="47">
        <v>1</v>
      </c>
      <c r="C1" s="47">
        <v>2</v>
      </c>
      <c r="D1" s="47">
        <v>3</v>
      </c>
      <c r="E1" s="47">
        <v>4</v>
      </c>
      <c r="F1" s="47">
        <v>5</v>
      </c>
      <c r="G1" s="47">
        <v>6</v>
      </c>
      <c r="H1" s="47">
        <v>7</v>
      </c>
      <c r="I1" s="47">
        <v>8</v>
      </c>
      <c r="J1" s="47">
        <v>9</v>
      </c>
    </row>
    <row r="2" spans="1:10" x14ac:dyDescent="0.25">
      <c r="A2" s="47">
        <v>1</v>
      </c>
      <c r="B2" s="3">
        <f>$A2*B$1</f>
        <v>1</v>
      </c>
      <c r="C2" s="3">
        <f>$A$2*C$1</f>
        <v>2</v>
      </c>
      <c r="D2" s="3">
        <f>$A$2*D$1</f>
        <v>3</v>
      </c>
      <c r="E2" s="3">
        <f>$A$2*E$1</f>
        <v>4</v>
      </c>
      <c r="F2" s="3">
        <f>$A$2*F$1</f>
        <v>5</v>
      </c>
      <c r="G2" s="3">
        <f>$A$2*G$1</f>
        <v>6</v>
      </c>
      <c r="H2" s="3">
        <f>$A$2*H$1</f>
        <v>7</v>
      </c>
      <c r="I2" s="3">
        <f>$A$2*I$1</f>
        <v>8</v>
      </c>
      <c r="J2" s="3">
        <f>$A$2*J$1</f>
        <v>9</v>
      </c>
    </row>
    <row r="3" spans="1:10" x14ac:dyDescent="0.25">
      <c r="A3" s="47">
        <v>2</v>
      </c>
      <c r="B3" s="3">
        <f>$A3*B$1</f>
        <v>2</v>
      </c>
      <c r="C3" s="3">
        <f>$A3*C$1</f>
        <v>4</v>
      </c>
      <c r="D3" s="3">
        <f>$A3*D$1</f>
        <v>6</v>
      </c>
      <c r="E3" s="3">
        <f>$A3*E$1</f>
        <v>8</v>
      </c>
      <c r="F3" s="3">
        <f>$A3*F$1</f>
        <v>10</v>
      </c>
      <c r="G3" s="3">
        <f>$A3*G$1</f>
        <v>12</v>
      </c>
      <c r="H3" s="3">
        <f>$A3*H$1</f>
        <v>14</v>
      </c>
      <c r="I3" s="3">
        <f>$A3*I$1</f>
        <v>16</v>
      </c>
      <c r="J3" s="3">
        <f>$A3*J$1</f>
        <v>18</v>
      </c>
    </row>
    <row r="4" spans="1:10" x14ac:dyDescent="0.25">
      <c r="A4" s="47">
        <v>3</v>
      </c>
      <c r="B4" s="3">
        <f>$A4*B$1</f>
        <v>3</v>
      </c>
      <c r="C4" s="3">
        <f>$A4*C$1</f>
        <v>6</v>
      </c>
      <c r="D4" s="3">
        <f>$A4*D$1</f>
        <v>9</v>
      </c>
      <c r="E4" s="3">
        <f>$A4*E$1</f>
        <v>12</v>
      </c>
      <c r="F4" s="3">
        <f>$A4*F$1</f>
        <v>15</v>
      </c>
      <c r="G4" s="3">
        <f>$A4*G$1</f>
        <v>18</v>
      </c>
      <c r="H4" s="3">
        <f>$A4*H$1</f>
        <v>21</v>
      </c>
      <c r="I4" s="3">
        <f>$A4*I$1</f>
        <v>24</v>
      </c>
      <c r="J4" s="3">
        <f>$A4*J$1</f>
        <v>27</v>
      </c>
    </row>
    <row r="5" spans="1:10" x14ac:dyDescent="0.25">
      <c r="A5" s="47">
        <v>4</v>
      </c>
      <c r="B5" s="3">
        <f>$A5*B$1</f>
        <v>4</v>
      </c>
      <c r="C5" s="3">
        <f>$A5*C$1</f>
        <v>8</v>
      </c>
      <c r="D5" s="3">
        <f>$A5*D$1</f>
        <v>12</v>
      </c>
      <c r="E5" s="3">
        <f>$A5*E$1</f>
        <v>16</v>
      </c>
      <c r="F5" s="3">
        <f>$A5*F$1</f>
        <v>20</v>
      </c>
      <c r="G5" s="3">
        <f>$A5*G$1</f>
        <v>24</v>
      </c>
      <c r="H5" s="3">
        <f>$A5*H$1</f>
        <v>28</v>
      </c>
      <c r="I5" s="3">
        <f>$A5*I$1</f>
        <v>32</v>
      </c>
      <c r="J5" s="3">
        <f>$A5*J$1</f>
        <v>36</v>
      </c>
    </row>
    <row r="6" spans="1:10" x14ac:dyDescent="0.25">
      <c r="A6" s="47">
        <v>5</v>
      </c>
      <c r="B6" s="3">
        <f>$A6*B$1</f>
        <v>5</v>
      </c>
      <c r="C6" s="3">
        <f>$A6*C$1</f>
        <v>10</v>
      </c>
      <c r="D6" s="3">
        <f>$A6*D$1</f>
        <v>15</v>
      </c>
      <c r="E6" s="3">
        <f>$A6*E$1</f>
        <v>20</v>
      </c>
      <c r="F6" s="3">
        <f>$A6*F$1</f>
        <v>25</v>
      </c>
      <c r="G6" s="3">
        <f>$A6*G$1</f>
        <v>30</v>
      </c>
      <c r="H6" s="3">
        <f>$A6*H$1</f>
        <v>35</v>
      </c>
      <c r="I6" s="3">
        <f>$A6*I$1</f>
        <v>40</v>
      </c>
      <c r="J6" s="3">
        <f>$A6*J$1</f>
        <v>45</v>
      </c>
    </row>
    <row r="7" spans="1:10" x14ac:dyDescent="0.25">
      <c r="A7" s="47">
        <v>6</v>
      </c>
      <c r="B7" s="3">
        <f>$A7*B$1</f>
        <v>6</v>
      </c>
      <c r="C7" s="3">
        <f>$A7*C$1</f>
        <v>12</v>
      </c>
      <c r="D7" s="3">
        <f>$A7*D$1</f>
        <v>18</v>
      </c>
      <c r="E7" s="3">
        <f>$A7*E$1</f>
        <v>24</v>
      </c>
      <c r="F7" s="3">
        <f>$A7*F$1</f>
        <v>30</v>
      </c>
      <c r="G7" s="3">
        <f>$A7*G$1</f>
        <v>36</v>
      </c>
      <c r="H7" s="3">
        <f>$A7*H$1</f>
        <v>42</v>
      </c>
      <c r="I7" s="3">
        <f>$A7*I$1</f>
        <v>48</v>
      </c>
      <c r="J7" s="3">
        <f>$A7*J$1</f>
        <v>54</v>
      </c>
    </row>
    <row r="8" spans="1:10" x14ac:dyDescent="0.25">
      <c r="A8" s="47">
        <v>7</v>
      </c>
      <c r="B8" s="3">
        <f>$A8*B$1</f>
        <v>7</v>
      </c>
      <c r="C8" s="3">
        <f>$A8*C$1</f>
        <v>14</v>
      </c>
      <c r="D8" s="3">
        <f>$A8*D$1</f>
        <v>21</v>
      </c>
      <c r="E8" s="3">
        <f>$A8*E$1</f>
        <v>28</v>
      </c>
      <c r="F8" s="3">
        <f>$A8*F$1</f>
        <v>35</v>
      </c>
      <c r="G8" s="3">
        <f>$A8*G$1</f>
        <v>42</v>
      </c>
      <c r="H8" s="3">
        <f>$A8*H$1</f>
        <v>49</v>
      </c>
      <c r="I8" s="3">
        <f>$A8*I$1</f>
        <v>56</v>
      </c>
      <c r="J8" s="3">
        <f>$A8*J$1</f>
        <v>63</v>
      </c>
    </row>
    <row r="9" spans="1:10" x14ac:dyDescent="0.25">
      <c r="A9" s="47">
        <v>8</v>
      </c>
      <c r="B9" s="3">
        <f>$A9*B$1</f>
        <v>8</v>
      </c>
      <c r="C9" s="3">
        <f>$A9*C$1</f>
        <v>16</v>
      </c>
      <c r="D9" s="3">
        <f>$A9*D$1</f>
        <v>24</v>
      </c>
      <c r="E9" s="3">
        <f>$A9*E$1</f>
        <v>32</v>
      </c>
      <c r="F9" s="3">
        <f>$A9*F$1</f>
        <v>40</v>
      </c>
      <c r="G9" s="3">
        <f>$A9*G$1</f>
        <v>48</v>
      </c>
      <c r="H9" s="3">
        <f>$A9*H$1</f>
        <v>56</v>
      </c>
      <c r="I9" s="3">
        <f>$A9*I$1</f>
        <v>64</v>
      </c>
      <c r="J9" s="3">
        <f>$A9*J$1</f>
        <v>72</v>
      </c>
    </row>
    <row r="10" spans="1:10" x14ac:dyDescent="0.25">
      <c r="A10" s="47">
        <v>9</v>
      </c>
      <c r="B10" s="3">
        <f>$A10*B$1</f>
        <v>9</v>
      </c>
      <c r="C10" s="3">
        <f>$A10*C$1</f>
        <v>18</v>
      </c>
      <c r="D10" s="3">
        <f>$A10*D$1</f>
        <v>27</v>
      </c>
      <c r="E10" s="3">
        <f>$A10*E$1</f>
        <v>36</v>
      </c>
      <c r="F10" s="3">
        <f>$A10*F$1</f>
        <v>45</v>
      </c>
      <c r="G10" s="3">
        <f>$A10*G$1</f>
        <v>54</v>
      </c>
      <c r="H10" s="3">
        <f>$A10*H$1</f>
        <v>63</v>
      </c>
      <c r="I10" s="3">
        <f>$A10*I$1</f>
        <v>72</v>
      </c>
      <c r="J10" s="3">
        <f>$A10*J$1</f>
        <v>81</v>
      </c>
    </row>
  </sheetData>
  <sheetProtection password="8A64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E1:K14"/>
  <sheetViews>
    <sheetView workbookViewId="0">
      <selection activeCell="E6" sqref="E6"/>
    </sheetView>
  </sheetViews>
  <sheetFormatPr baseColWidth="10" defaultColWidth="9.140625" defaultRowHeight="15" x14ac:dyDescent="0.25"/>
  <cols>
    <col min="5" max="5" width="14.28515625" bestFit="1" customWidth="1"/>
  </cols>
  <sheetData>
    <row r="1" spans="5:11" ht="20.25" thickTop="1" thickBot="1" x14ac:dyDescent="0.3">
      <c r="E1" s="77" t="s">
        <v>83</v>
      </c>
      <c r="F1" s="76"/>
      <c r="G1" s="76"/>
      <c r="H1" s="76"/>
      <c r="I1" s="76"/>
      <c r="J1" s="76"/>
      <c r="K1" s="75"/>
    </row>
    <row r="2" spans="5:11" ht="15.75" thickTop="1" x14ac:dyDescent="0.25"/>
    <row r="3" spans="5:11" x14ac:dyDescent="0.25">
      <c r="F3" s="74" t="s">
        <v>82</v>
      </c>
      <c r="G3" s="74" t="s">
        <v>81</v>
      </c>
      <c r="H3" s="74" t="s">
        <v>80</v>
      </c>
      <c r="I3" s="74" t="s">
        <v>79</v>
      </c>
      <c r="J3" s="74" t="s">
        <v>78</v>
      </c>
      <c r="K3" s="74" t="s">
        <v>77</v>
      </c>
    </row>
    <row r="4" spans="5:11" ht="15.75" thickBot="1" x14ac:dyDescent="0.3"/>
    <row r="5" spans="5:11" ht="16.5" thickTop="1" thickBot="1" x14ac:dyDescent="0.3">
      <c r="E5" s="73" t="s">
        <v>76</v>
      </c>
    </row>
    <row r="6" spans="5:11" ht="15.75" thickBot="1" x14ac:dyDescent="0.3">
      <c r="E6" s="72" t="s">
        <v>56</v>
      </c>
      <c r="F6" s="71"/>
      <c r="G6" s="71"/>
      <c r="H6" s="71"/>
      <c r="I6" s="71"/>
      <c r="J6" s="71"/>
      <c r="K6" s="70"/>
    </row>
    <row r="7" spans="5:11" ht="15.75" thickBot="1" x14ac:dyDescent="0.3">
      <c r="E7" s="69"/>
    </row>
    <row r="8" spans="5:11" ht="15.75" thickBot="1" x14ac:dyDescent="0.3">
      <c r="E8" s="68" t="s">
        <v>75</v>
      </c>
    </row>
    <row r="9" spans="5:11" x14ac:dyDescent="0.25">
      <c r="E9" s="68" t="s">
        <v>52</v>
      </c>
      <c r="F9" s="67"/>
      <c r="G9" s="66"/>
      <c r="H9" s="66"/>
      <c r="I9" s="66"/>
      <c r="J9" s="66"/>
      <c r="K9" s="65"/>
    </row>
    <row r="10" spans="5:11" x14ac:dyDescent="0.25">
      <c r="E10" s="64" t="s">
        <v>74</v>
      </c>
      <c r="F10" s="63"/>
      <c r="G10" s="62"/>
      <c r="H10" s="62"/>
      <c r="I10" s="62"/>
      <c r="J10" s="62"/>
      <c r="K10" s="61"/>
    </row>
    <row r="11" spans="5:11" ht="15.75" thickBot="1" x14ac:dyDescent="0.3">
      <c r="E11" s="60" t="s">
        <v>23</v>
      </c>
      <c r="F11" s="59"/>
      <c r="G11" s="58"/>
      <c r="H11" s="58"/>
      <c r="I11" s="58"/>
      <c r="J11" s="58"/>
      <c r="K11" s="57"/>
    </row>
    <row r="12" spans="5:11" ht="15.75" thickBot="1" x14ac:dyDescent="0.3">
      <c r="E12" s="56"/>
      <c r="F12" s="55"/>
      <c r="G12" s="55"/>
      <c r="H12" s="55"/>
      <c r="I12" s="55"/>
      <c r="J12" s="55"/>
      <c r="K12" s="55"/>
    </row>
    <row r="13" spans="5:11" ht="15.75" thickBot="1" x14ac:dyDescent="0.3">
      <c r="E13" s="54" t="s">
        <v>73</v>
      </c>
      <c r="F13" s="53"/>
      <c r="G13" s="53"/>
      <c r="H13" s="53"/>
      <c r="I13" s="53"/>
      <c r="J13" s="53"/>
      <c r="K13" s="52"/>
    </row>
    <row r="14" spans="5:11" ht="15.75" thickBot="1" x14ac:dyDescent="0.3">
      <c r="E14" s="51" t="s">
        <v>72</v>
      </c>
      <c r="F14" s="50"/>
      <c r="G14" s="50"/>
      <c r="H14" s="50"/>
      <c r="I14" s="50"/>
      <c r="J14" s="50"/>
      <c r="K14" s="49"/>
    </row>
  </sheetData>
  <mergeCells count="1">
    <mergeCell ref="E1:K1"/>
  </mergeCells>
  <pageMargins left="0.7" right="0.7" top="0.75" bottom="0.75" header="0.3" footer="0.3"/>
  <pageSetup paperSize="0" orientation="portrait" horizontalDpi="0" verticalDpi="0" copie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"/>
  <sheetViews>
    <sheetView workbookViewId="0">
      <selection activeCell="E6" sqref="E6"/>
    </sheetView>
  </sheetViews>
  <sheetFormatPr baseColWidth="10" defaultColWidth="9.140625" defaultRowHeight="15" x14ac:dyDescent="0.25"/>
  <cols>
    <col min="5" max="5" width="14.28515625" bestFit="1" customWidth="1"/>
    <col min="6" max="6" width="9.42578125" bestFit="1" customWidth="1"/>
  </cols>
  <sheetData>
    <row r="1" spans="5:11" ht="20.25" thickTop="1" thickBot="1" x14ac:dyDescent="0.3">
      <c r="E1" s="77" t="s">
        <v>83</v>
      </c>
      <c r="F1" s="76"/>
      <c r="G1" s="76"/>
      <c r="H1" s="76"/>
      <c r="I1" s="76"/>
      <c r="J1" s="76"/>
      <c r="K1" s="75"/>
    </row>
    <row r="2" spans="5:11" ht="15.75" thickTop="1" x14ac:dyDescent="0.25"/>
    <row r="3" spans="5:11" x14ac:dyDescent="0.25">
      <c r="F3" s="74" t="s">
        <v>82</v>
      </c>
      <c r="G3" s="74" t="s">
        <v>81</v>
      </c>
      <c r="H3" s="74" t="s">
        <v>80</v>
      </c>
      <c r="I3" s="74" t="s">
        <v>79</v>
      </c>
      <c r="J3" s="74" t="s">
        <v>78</v>
      </c>
      <c r="K3" s="74" t="s">
        <v>77</v>
      </c>
    </row>
    <row r="4" spans="5:11" ht="15.75" thickBot="1" x14ac:dyDescent="0.3"/>
    <row r="5" spans="5:11" ht="16.5" thickTop="1" thickBot="1" x14ac:dyDescent="0.3">
      <c r="E5" s="73" t="s">
        <v>76</v>
      </c>
    </row>
    <row r="6" spans="5:11" ht="15.75" thickBot="1" x14ac:dyDescent="0.3">
      <c r="E6" s="72" t="s">
        <v>56</v>
      </c>
      <c r="F6" s="71">
        <v>329.35</v>
      </c>
      <c r="G6" s="71">
        <v>330.56</v>
      </c>
      <c r="H6" s="71">
        <v>212.76</v>
      </c>
      <c r="I6" s="71">
        <v>300.51</v>
      </c>
      <c r="J6" s="71">
        <v>150.25</v>
      </c>
      <c r="K6" s="70">
        <v>393.66</v>
      </c>
    </row>
    <row r="7" spans="5:11" ht="15.75" thickBot="1" x14ac:dyDescent="0.3">
      <c r="E7" s="69"/>
    </row>
    <row r="8" spans="5:11" ht="15.75" thickBot="1" x14ac:dyDescent="0.3">
      <c r="E8" s="68" t="s">
        <v>75</v>
      </c>
    </row>
    <row r="9" spans="5:11" x14ac:dyDescent="0.25">
      <c r="E9" s="54" t="s">
        <v>52</v>
      </c>
      <c r="F9" s="67">
        <f>F6*20%</f>
        <v>65.87</v>
      </c>
      <c r="G9" s="66">
        <f>G6*20%</f>
        <v>66.112000000000009</v>
      </c>
      <c r="H9" s="66">
        <f>H6*20%</f>
        <v>42.552</v>
      </c>
      <c r="I9" s="66">
        <f>I6*20%</f>
        <v>60.102000000000004</v>
      </c>
      <c r="J9" s="66">
        <f>J6*20%</f>
        <v>30.05</v>
      </c>
      <c r="K9" s="65">
        <f>K6*20%</f>
        <v>78.732000000000014</v>
      </c>
    </row>
    <row r="10" spans="5:11" x14ac:dyDescent="0.25">
      <c r="E10" s="79" t="s">
        <v>74</v>
      </c>
      <c r="F10" s="63">
        <f>10+(4%*F6)</f>
        <v>23.173999999999999</v>
      </c>
      <c r="G10" s="62">
        <f>10+(4%*G6)</f>
        <v>23.2224</v>
      </c>
      <c r="H10" s="62">
        <f>10+(4%*H6)</f>
        <v>18.510400000000001</v>
      </c>
      <c r="I10" s="62">
        <f>10+(4%*I6)</f>
        <v>22.020400000000002</v>
      </c>
      <c r="J10" s="62">
        <f>10+(4%*J6)</f>
        <v>16.009999999999998</v>
      </c>
      <c r="K10" s="61">
        <f>10+(4%*K6)</f>
        <v>25.746400000000001</v>
      </c>
    </row>
    <row r="11" spans="5:11" ht="15.75" thickBot="1" x14ac:dyDescent="0.3">
      <c r="E11" s="78" t="s">
        <v>23</v>
      </c>
      <c r="F11" s="59">
        <f>21%*F6-21%*F9</f>
        <v>55.330799999999996</v>
      </c>
      <c r="G11" s="58">
        <f>21%*G6-21%*G9</f>
        <v>55.534079999999989</v>
      </c>
      <c r="H11" s="58">
        <f>21%*H6-21%*H9</f>
        <v>35.743679999999998</v>
      </c>
      <c r="I11" s="58">
        <f>21%*I6-21%*I9</f>
        <v>50.485679999999995</v>
      </c>
      <c r="J11" s="58">
        <f>21%*J6-21%*J9</f>
        <v>25.241999999999997</v>
      </c>
      <c r="K11" s="57">
        <f>21%*K6-21%*K9</f>
        <v>66.134879999999995</v>
      </c>
    </row>
    <row r="12" spans="5:11" ht="15.75" thickBot="1" x14ac:dyDescent="0.3">
      <c r="E12" s="56"/>
      <c r="F12" s="55"/>
      <c r="G12" s="55"/>
      <c r="H12" s="55"/>
      <c r="I12" s="55"/>
      <c r="J12" s="55"/>
      <c r="K12" s="55"/>
    </row>
    <row r="13" spans="5:11" ht="15.75" thickBot="1" x14ac:dyDescent="0.3">
      <c r="E13" s="54" t="s">
        <v>73</v>
      </c>
      <c r="F13" s="53">
        <f>SUM(F9:F11)</f>
        <v>144.37479999999999</v>
      </c>
      <c r="G13" s="53">
        <f>SUM(G9:G11)</f>
        <v>144.86848000000001</v>
      </c>
      <c r="H13" s="53">
        <f>SUM(H9:H11)</f>
        <v>96.806079999999994</v>
      </c>
      <c r="I13" s="53">
        <f>SUM(I9:I11)</f>
        <v>132.60808</v>
      </c>
      <c r="J13" s="53">
        <f>SUM(J9:J11)</f>
        <v>71.301999999999992</v>
      </c>
      <c r="K13" s="53">
        <f>SUM(K9:K11)</f>
        <v>170.61328000000003</v>
      </c>
    </row>
    <row r="14" spans="5:11" ht="15.75" thickBot="1" x14ac:dyDescent="0.3">
      <c r="E14" s="51" t="s">
        <v>72</v>
      </c>
      <c r="F14" s="50">
        <f>F6-F13</f>
        <v>184.97520000000003</v>
      </c>
      <c r="G14" s="50">
        <f>G6-G13</f>
        <v>185.69152</v>
      </c>
      <c r="H14" s="50">
        <f>H6-H13</f>
        <v>115.95392</v>
      </c>
      <c r="I14" s="50">
        <f>I6-I13</f>
        <v>167.90191999999999</v>
      </c>
      <c r="J14" s="50">
        <f>J6-J13</f>
        <v>78.948000000000008</v>
      </c>
      <c r="K14" s="49">
        <f>K6-K13</f>
        <v>223.04671999999999</v>
      </c>
    </row>
    <row r="17" spans="1:4" x14ac:dyDescent="0.25">
      <c r="A17" s="6" t="s">
        <v>17</v>
      </c>
      <c r="B17" s="6"/>
      <c r="C17" s="6"/>
      <c r="D17" s="6"/>
    </row>
    <row r="18" spans="1:4" x14ac:dyDescent="0.25">
      <c r="A18" s="9" t="s">
        <v>16</v>
      </c>
      <c r="B18" s="9"/>
      <c r="C18" s="9"/>
    </row>
  </sheetData>
  <mergeCells count="2">
    <mergeCell ref="E1:K1"/>
    <mergeCell ref="A18:C18"/>
  </mergeCells>
  <hyperlinks>
    <hyperlink ref="A18" r:id="rId1"/>
  </hyperlinks>
  <pageMargins left="0.7" right="0.7" top="0.75" bottom="0.75" header="0.3" footer="0.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1" width="11" customWidth="1"/>
    <col min="2" max="2" width="13" bestFit="1" customWidth="1"/>
    <col min="3" max="3" width="12.28515625" bestFit="1" customWidth="1"/>
    <col min="4" max="4" width="13.7109375" customWidth="1"/>
    <col min="5" max="5" width="14.5703125" customWidth="1"/>
  </cols>
  <sheetData>
    <row r="1" spans="1:6" x14ac:dyDescent="0.25">
      <c r="C1" s="94" t="s">
        <v>100</v>
      </c>
      <c r="D1" s="94"/>
    </row>
    <row r="2" spans="1:6" x14ac:dyDescent="0.25">
      <c r="C2" s="96" t="s">
        <v>99</v>
      </c>
      <c r="D2" s="95"/>
      <c r="E2" s="7" t="s">
        <v>82</v>
      </c>
    </row>
    <row r="3" spans="1:6" x14ac:dyDescent="0.25">
      <c r="C3" s="94" t="s">
        <v>98</v>
      </c>
      <c r="D3" s="93"/>
      <c r="E3" s="85">
        <v>3.5000000000000003E-2</v>
      </c>
    </row>
    <row r="6" spans="1:6" x14ac:dyDescent="0.25">
      <c r="A6" s="7" t="s">
        <v>97</v>
      </c>
      <c r="B6" s="92" t="s">
        <v>96</v>
      </c>
      <c r="C6" s="90" t="s">
        <v>95</v>
      </c>
      <c r="D6" s="90" t="s">
        <v>94</v>
      </c>
      <c r="E6" s="91" t="s">
        <v>93</v>
      </c>
      <c r="F6" s="90" t="s">
        <v>92</v>
      </c>
    </row>
    <row r="7" spans="1:6" x14ac:dyDescent="0.25">
      <c r="C7" s="88"/>
      <c r="D7" s="88"/>
      <c r="E7" s="89"/>
      <c r="F7" s="88"/>
    </row>
    <row r="8" spans="1:6" x14ac:dyDescent="0.25">
      <c r="A8" s="87" t="s">
        <v>91</v>
      </c>
      <c r="B8" s="86">
        <v>120000</v>
      </c>
      <c r="C8" s="85">
        <v>5.0000000000000001E-3</v>
      </c>
      <c r="D8" s="84"/>
      <c r="E8" s="84"/>
      <c r="F8" s="84"/>
    </row>
    <row r="9" spans="1:6" x14ac:dyDescent="0.25">
      <c r="A9" s="47" t="s">
        <v>90</v>
      </c>
      <c r="B9" s="83">
        <v>56000</v>
      </c>
      <c r="C9" s="82">
        <v>5.0000000000000001E-3</v>
      </c>
      <c r="D9" s="81"/>
      <c r="E9" s="81"/>
      <c r="F9" s="81"/>
    </row>
    <row r="10" spans="1:6" x14ac:dyDescent="0.25">
      <c r="A10" s="87" t="s">
        <v>89</v>
      </c>
      <c r="B10" s="86">
        <v>60640</v>
      </c>
      <c r="C10" s="85">
        <v>2E-3</v>
      </c>
      <c r="D10" s="84"/>
      <c r="E10" s="84"/>
      <c r="F10" s="84"/>
    </row>
    <row r="11" spans="1:6" x14ac:dyDescent="0.25">
      <c r="A11" s="47" t="s">
        <v>88</v>
      </c>
      <c r="B11" s="83">
        <v>83650.02</v>
      </c>
      <c r="C11" s="82">
        <v>2E-3</v>
      </c>
      <c r="D11" s="81"/>
      <c r="E11" s="81"/>
      <c r="F11" s="81"/>
    </row>
    <row r="12" spans="1:6" x14ac:dyDescent="0.25">
      <c r="A12" s="87" t="s">
        <v>87</v>
      </c>
      <c r="B12" s="86">
        <v>89600</v>
      </c>
      <c r="C12" s="85">
        <v>2E-3</v>
      </c>
      <c r="D12" s="84"/>
      <c r="E12" s="84"/>
      <c r="F12" s="84"/>
    </row>
    <row r="13" spans="1:6" x14ac:dyDescent="0.25">
      <c r="A13" s="47" t="s">
        <v>86</v>
      </c>
      <c r="B13" s="83">
        <v>86400</v>
      </c>
      <c r="C13" s="82">
        <v>2E-3</v>
      </c>
      <c r="D13" s="81"/>
      <c r="E13" s="81"/>
      <c r="F13" s="81"/>
    </row>
    <row r="15" spans="1:6" x14ac:dyDescent="0.25">
      <c r="A15" s="7" t="s">
        <v>85</v>
      </c>
      <c r="B15" s="80"/>
      <c r="C15" s="5"/>
      <c r="D15" s="80"/>
      <c r="E15" s="80"/>
      <c r="F15" s="80"/>
    </row>
    <row r="17" spans="1:2" x14ac:dyDescent="0.25">
      <c r="A17" s="7" t="s">
        <v>84</v>
      </c>
      <c r="B17" s="80"/>
    </row>
  </sheetData>
  <mergeCells count="7">
    <mergeCell ref="F6:F7"/>
    <mergeCell ref="C1:D1"/>
    <mergeCell ref="C2:D2"/>
    <mergeCell ref="C3:D3"/>
    <mergeCell ref="C6:C7"/>
    <mergeCell ref="D6:D7"/>
    <mergeCell ref="E6:E7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7" sqref="C17"/>
    </sheetView>
  </sheetViews>
  <sheetFormatPr baseColWidth="10" defaultColWidth="9.140625" defaultRowHeight="15" x14ac:dyDescent="0.25"/>
  <cols>
    <col min="1" max="1" width="10.85546875" bestFit="1" customWidth="1"/>
    <col min="2" max="2" width="13" bestFit="1" customWidth="1"/>
    <col min="3" max="3" width="13.42578125" customWidth="1"/>
    <col min="4" max="4" width="15" customWidth="1"/>
    <col min="5" max="5" width="13.28515625" customWidth="1"/>
    <col min="6" max="6" width="12" bestFit="1" customWidth="1"/>
  </cols>
  <sheetData>
    <row r="1" spans="1:6" x14ac:dyDescent="0.25">
      <c r="C1" s="94" t="s">
        <v>100</v>
      </c>
      <c r="D1" s="94"/>
    </row>
    <row r="2" spans="1:6" x14ac:dyDescent="0.25">
      <c r="C2" s="96" t="s">
        <v>99</v>
      </c>
      <c r="D2" s="95"/>
      <c r="E2" s="7" t="s">
        <v>82</v>
      </c>
    </row>
    <row r="3" spans="1:6" x14ac:dyDescent="0.25">
      <c r="C3" s="94" t="s">
        <v>98</v>
      </c>
      <c r="D3" s="93"/>
      <c r="E3" s="85">
        <v>3.5000000000000003E-2</v>
      </c>
    </row>
    <row r="6" spans="1:6" x14ac:dyDescent="0.25">
      <c r="A6" s="7" t="s">
        <v>97</v>
      </c>
      <c r="B6" s="92" t="s">
        <v>96</v>
      </c>
      <c r="C6" s="90" t="s">
        <v>95</v>
      </c>
      <c r="D6" s="90" t="s">
        <v>94</v>
      </c>
      <c r="E6" s="91" t="s">
        <v>93</v>
      </c>
      <c r="F6" s="90" t="s">
        <v>92</v>
      </c>
    </row>
    <row r="7" spans="1:6" x14ac:dyDescent="0.25">
      <c r="C7" s="88"/>
      <c r="D7" s="88"/>
      <c r="E7" s="89"/>
      <c r="F7" s="88"/>
    </row>
    <row r="8" spans="1:6" x14ac:dyDescent="0.25">
      <c r="A8" s="87" t="s">
        <v>91</v>
      </c>
      <c r="B8" s="98">
        <v>120000</v>
      </c>
      <c r="C8" s="85">
        <v>5.0000000000000001E-3</v>
      </c>
      <c r="D8" s="84">
        <f>B8*$E$3</f>
        <v>4200</v>
      </c>
      <c r="E8" s="84">
        <f>B8*C8</f>
        <v>600</v>
      </c>
      <c r="F8" s="99">
        <f>SUM(D8:E8)</f>
        <v>4800</v>
      </c>
    </row>
    <row r="9" spans="1:6" x14ac:dyDescent="0.25">
      <c r="A9" s="47" t="s">
        <v>90</v>
      </c>
      <c r="B9" s="97">
        <v>56000</v>
      </c>
      <c r="C9" s="82">
        <v>5.0000000000000001E-3</v>
      </c>
      <c r="D9" s="81">
        <f>B9*$E$3</f>
        <v>1960.0000000000002</v>
      </c>
      <c r="E9" s="81">
        <f>B9*C9</f>
        <v>280</v>
      </c>
      <c r="F9" s="81">
        <f>SUM(D9:E9)</f>
        <v>2240</v>
      </c>
    </row>
    <row r="10" spans="1:6" x14ac:dyDescent="0.25">
      <c r="A10" s="87" t="s">
        <v>89</v>
      </c>
      <c r="B10" s="98">
        <v>60640</v>
      </c>
      <c r="C10" s="85">
        <v>2E-3</v>
      </c>
      <c r="D10" s="84">
        <f>B10*$E$3</f>
        <v>2122.4</v>
      </c>
      <c r="E10" s="84">
        <f>B10*C10</f>
        <v>121.28</v>
      </c>
      <c r="F10" s="84">
        <f>SUM(D10:E10)</f>
        <v>2243.6800000000003</v>
      </c>
    </row>
    <row r="11" spans="1:6" x14ac:dyDescent="0.25">
      <c r="A11" s="47" t="s">
        <v>88</v>
      </c>
      <c r="B11" s="97">
        <v>83650.02</v>
      </c>
      <c r="C11" s="82">
        <v>2E-3</v>
      </c>
      <c r="D11" s="81">
        <f>B11*$E$3</f>
        <v>2927.7507000000005</v>
      </c>
      <c r="E11" s="81">
        <f>B11*C11</f>
        <v>167.30004000000002</v>
      </c>
      <c r="F11" s="81">
        <f>SUM(D11:E11)</f>
        <v>3095.0507400000006</v>
      </c>
    </row>
    <row r="12" spans="1:6" x14ac:dyDescent="0.25">
      <c r="A12" s="87" t="s">
        <v>87</v>
      </c>
      <c r="B12" s="98">
        <v>89600</v>
      </c>
      <c r="C12" s="85">
        <v>2E-3</v>
      </c>
      <c r="D12" s="84">
        <f>B12*$E$3</f>
        <v>3136.0000000000005</v>
      </c>
      <c r="E12" s="84">
        <f>B12*C12</f>
        <v>179.20000000000002</v>
      </c>
      <c r="F12" s="84">
        <f>SUM(D12:E12)</f>
        <v>3315.2000000000003</v>
      </c>
    </row>
    <row r="13" spans="1:6" x14ac:dyDescent="0.25">
      <c r="A13" s="47" t="s">
        <v>86</v>
      </c>
      <c r="B13" s="97">
        <v>86400</v>
      </c>
      <c r="C13" s="82">
        <v>2E-3</v>
      </c>
      <c r="D13" s="81">
        <f>B13*$E$3</f>
        <v>3024.0000000000005</v>
      </c>
      <c r="E13" s="81">
        <f>B13*C13</f>
        <v>172.8</v>
      </c>
      <c r="F13" s="81">
        <f>SUM(D13:E13)</f>
        <v>3196.8000000000006</v>
      </c>
    </row>
    <row r="15" spans="1:6" x14ac:dyDescent="0.25">
      <c r="A15" s="7" t="s">
        <v>85</v>
      </c>
      <c r="B15" s="80">
        <f>SUM(B8:B13)</f>
        <v>496290.02</v>
      </c>
      <c r="C15" s="5"/>
      <c r="D15" s="80">
        <f>SUM(D8:D13)</f>
        <v>17370.150700000002</v>
      </c>
      <c r="E15" s="80">
        <f>SUM(E8:E13)</f>
        <v>1520.5800400000001</v>
      </c>
      <c r="F15" s="80">
        <f>SUM(F8:F13)</f>
        <v>18890.730740000003</v>
      </c>
    </row>
    <row r="17" spans="1:2" x14ac:dyDescent="0.25">
      <c r="A17" s="7" t="s">
        <v>84</v>
      </c>
      <c r="B17" s="80">
        <f>AVERAGE(B8:B13)</f>
        <v>82715.003333333341</v>
      </c>
    </row>
  </sheetData>
  <mergeCells count="7">
    <mergeCell ref="F6:F7"/>
    <mergeCell ref="C1:D1"/>
    <mergeCell ref="C2:D2"/>
    <mergeCell ref="C3:D3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Ejercicio1</vt:lpstr>
      <vt:lpstr>Solucion1</vt:lpstr>
      <vt:lpstr>Ejercicio2</vt:lpstr>
      <vt:lpstr>Solucion2</vt:lpstr>
      <vt:lpstr>Ejercicio3</vt:lpstr>
      <vt:lpstr>Solucion3</vt:lpstr>
      <vt:lpstr>TMultiplicar</vt:lpstr>
      <vt:lpstr>SolucionTmultiplicar</vt:lpstr>
      <vt:lpstr>Deportes</vt:lpstr>
      <vt:lpstr>SoluciónDeportes</vt:lpstr>
      <vt:lpstr>Vendedores</vt:lpstr>
      <vt:lpstr>SoluciónVendedores</vt:lpstr>
      <vt:lpstr>Venta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Hp</cp:lastModifiedBy>
  <dcterms:created xsi:type="dcterms:W3CDTF">2013-03-30T19:31:07Z</dcterms:created>
  <dcterms:modified xsi:type="dcterms:W3CDTF">2016-06-16T22:16:41Z</dcterms:modified>
</cp:coreProperties>
</file>