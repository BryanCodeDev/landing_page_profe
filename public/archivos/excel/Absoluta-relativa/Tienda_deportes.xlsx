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Solución" sheetId="3" r:id="rId2"/>
  </sheets>
  <calcPr calcId="144525"/>
</workbook>
</file>

<file path=xl/calcChain.xml><?xml version="1.0" encoding="utf-8"?>
<calcChain xmlns="http://schemas.openxmlformats.org/spreadsheetml/2006/main">
  <c r="G13" i="3" l="1"/>
  <c r="G14" i="3" s="1"/>
  <c r="H13" i="3"/>
  <c r="I13" i="3"/>
  <c r="J13" i="3"/>
  <c r="J14" i="3" s="1"/>
  <c r="K13" i="3"/>
  <c r="K14" i="3" s="1"/>
  <c r="F13" i="3"/>
  <c r="F14" i="3" s="1"/>
  <c r="H14" i="3"/>
  <c r="I14" i="3"/>
  <c r="G11" i="3"/>
  <c r="H11" i="3"/>
  <c r="I11" i="3"/>
  <c r="J11" i="3"/>
  <c r="K11" i="3"/>
  <c r="F11" i="3"/>
  <c r="G10" i="3"/>
  <c r="H10" i="3"/>
  <c r="I10" i="3"/>
  <c r="J10" i="3"/>
  <c r="K10" i="3"/>
  <c r="F10" i="3"/>
  <c r="K9" i="3"/>
  <c r="J9" i="3"/>
  <c r="I9" i="3"/>
  <c r="H9" i="3"/>
  <c r="G9" i="3"/>
  <c r="F9" i="3"/>
</calcChain>
</file>

<file path=xl/comments1.xml><?xml version="1.0" encoding="utf-8"?>
<comments xmlns="http://schemas.openxmlformats.org/spreadsheetml/2006/main">
  <authors>
    <author>Autor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Introduce las cantidades que desees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20% de las ventas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 4%de las Ventas + 10 €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21% de las Ventas - 21% de las Compras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Suma de Compras, Personal y IVA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Ventas - Compras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Introduce las cantidades que desees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20% de las ventas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 4%de las Ventas + 10 €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21% de las Ventas - 21% de las Compras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Suma de Compras, Personal y IVA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Ventas - Compras</t>
        </r>
      </text>
    </comment>
  </commentList>
</comments>
</file>

<file path=xl/sharedStrings.xml><?xml version="1.0" encoding="utf-8"?>
<sst xmlns="http://schemas.openxmlformats.org/spreadsheetml/2006/main" count="32" uniqueCount="17">
  <si>
    <t>BENEFICIOS SEMESTRALES TIENDAS DE DEPORTES</t>
  </si>
  <si>
    <t>ENERO</t>
  </si>
  <si>
    <t>FEBRERO</t>
  </si>
  <si>
    <t>MARZO</t>
  </si>
  <si>
    <t>ABRIL</t>
  </si>
  <si>
    <t>MAYO</t>
  </si>
  <si>
    <t>JUNIO</t>
  </si>
  <si>
    <t>ENTRADAS</t>
  </si>
  <si>
    <t>Ventas</t>
  </si>
  <si>
    <t>SALIDAS</t>
  </si>
  <si>
    <t>Compras</t>
  </si>
  <si>
    <t>Personal</t>
  </si>
  <si>
    <t>TOTAL SALIDAS</t>
  </si>
  <si>
    <t>BENEFICIOS</t>
  </si>
  <si>
    <t>IVA</t>
  </si>
  <si>
    <t>Visita nuestra web, para ver mas manuales y ejercicios:</t>
  </si>
  <si>
    <t>www.discoduroderoer.es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</si>
</sst>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9"/>
      <color indexed="10"/>
      <name val="Courier"/>
      <family val="3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2"/>
      <color indexed="10"/>
      <name val="Courier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ck">
        <color indexed="48"/>
      </left>
      <right/>
      <top style="thick">
        <color indexed="48"/>
      </top>
      <bottom style="thick">
        <color indexed="48"/>
      </bottom>
      <diagonal/>
    </border>
    <border>
      <left/>
      <right/>
      <top style="thick">
        <color indexed="48"/>
      </top>
      <bottom style="thick">
        <color indexed="48"/>
      </bottom>
      <diagonal/>
    </border>
    <border>
      <left/>
      <right style="thick">
        <color indexed="48"/>
      </right>
      <top style="thick">
        <color indexed="48"/>
      </top>
      <bottom style="thick">
        <color indexed="4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4" xfId="0" applyFill="1" applyBorder="1"/>
    <xf numFmtId="44" fontId="3" fillId="4" borderId="6" xfId="1" applyFont="1" applyFill="1" applyBorder="1"/>
    <xf numFmtId="44" fontId="3" fillId="4" borderId="7" xfId="1" applyFont="1" applyFill="1" applyBorder="1"/>
    <xf numFmtId="0" fontId="0" fillId="5" borderId="0" xfId="0" applyFill="1"/>
    <xf numFmtId="0" fontId="0" fillId="3" borderId="8" xfId="0" applyFill="1" applyBorder="1"/>
    <xf numFmtId="0" fontId="0" fillId="3" borderId="9" xfId="0" applyFill="1" applyBorder="1"/>
    <xf numFmtId="164" fontId="5" fillId="0" borderId="10" xfId="0" applyNumberFormat="1" applyFont="1" applyFill="1" applyBorder="1"/>
    <xf numFmtId="164" fontId="5" fillId="0" borderId="11" xfId="0" applyNumberFormat="1" applyFont="1" applyFill="1" applyBorder="1"/>
    <xf numFmtId="0" fontId="0" fillId="3" borderId="12" xfId="0" applyFill="1" applyBorder="1"/>
    <xf numFmtId="2" fontId="5" fillId="0" borderId="0" xfId="0" applyNumberFormat="1" applyFont="1" applyFill="1" applyBorder="1"/>
    <xf numFmtId="2" fontId="5" fillId="0" borderId="13" xfId="0" applyNumberFormat="1" applyFont="1" applyFill="1" applyBorder="1"/>
    <xf numFmtId="0" fontId="0" fillId="3" borderId="5" xfId="0" applyFill="1" applyBorder="1"/>
    <xf numFmtId="2" fontId="5" fillId="0" borderId="14" xfId="0" applyNumberFormat="1" applyFont="1" applyFill="1" applyBorder="1"/>
    <xf numFmtId="2" fontId="5" fillId="0" borderId="15" xfId="0" applyNumberFormat="1" applyFont="1" applyFill="1" applyBorder="1"/>
    <xf numFmtId="0" fontId="0" fillId="3" borderId="16" xfId="0" applyFill="1" applyBorder="1"/>
    <xf numFmtId="44" fontId="0" fillId="4" borderId="6" xfId="1" applyFont="1" applyFill="1" applyBorder="1"/>
    <xf numFmtId="44" fontId="0" fillId="4" borderId="7" xfId="1" applyFont="1" applyFill="1" applyBorder="1"/>
    <xf numFmtId="0" fontId="6" fillId="2" borderId="1" xfId="0" applyFont="1" applyFill="1" applyBorder="1" applyAlignment="1">
      <alignment horizontal="center"/>
    </xf>
    <xf numFmtId="0" fontId="0" fillId="5" borderId="0" xfId="0" applyFill="1" applyBorder="1"/>
    <xf numFmtId="0" fontId="0" fillId="0" borderId="0" xfId="0" applyBorder="1"/>
    <xf numFmtId="164" fontId="0" fillId="4" borderId="10" xfId="0" applyNumberFormat="1" applyFill="1" applyBorder="1"/>
    <xf numFmtId="164" fontId="0" fillId="4" borderId="11" xfId="0" applyNumberFormat="1" applyFill="1" applyBorder="1"/>
    <xf numFmtId="0" fontId="0" fillId="3" borderId="18" xfId="0" applyFill="1" applyBorder="1"/>
    <xf numFmtId="0" fontId="0" fillId="3" borderId="19" xfId="0" applyFill="1" applyBorder="1"/>
    <xf numFmtId="164" fontId="5" fillId="0" borderId="9" xfId="0" applyNumberFormat="1" applyFont="1" applyFill="1" applyBorder="1"/>
    <xf numFmtId="2" fontId="5" fillId="0" borderId="12" xfId="0" applyNumberFormat="1" applyFont="1" applyFill="1" applyBorder="1"/>
    <xf numFmtId="2" fontId="5" fillId="0" borderId="5" xfId="0" applyNumberFormat="1" applyFont="1" applyFill="1" applyBorder="1"/>
    <xf numFmtId="0" fontId="9" fillId="0" borderId="0" xfId="2" applyAlignment="1">
      <alignment horizontal="left"/>
    </xf>
    <xf numFmtId="0" fontId="0" fillId="0" borderId="0" xfId="0" applyAlignment="1"/>
    <xf numFmtId="0" fontId="3" fillId="3" borderId="17" xfId="0" applyFont="1" applyFill="1" applyBorder="1"/>
  </cellXfs>
  <cellStyles count="3">
    <cellStyle name="Euro" xfId="1"/>
    <cellStyle name="Hipervínculo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discoduroderoer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1:K14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5" max="5" width="14.28515625" bestFit="1" customWidth="1"/>
  </cols>
  <sheetData>
    <row r="1" spans="5:11" ht="20.25" thickTop="1" thickBot="1" x14ac:dyDescent="0.3">
      <c r="E1" s="21" t="s">
        <v>0</v>
      </c>
      <c r="F1" s="1"/>
      <c r="G1" s="1"/>
      <c r="H1" s="1"/>
      <c r="I1" s="1"/>
      <c r="J1" s="1"/>
      <c r="K1" s="2"/>
    </row>
    <row r="2" spans="5:11" ht="15.75" thickTop="1" x14ac:dyDescent="0.25"/>
    <row r="3" spans="5:11" x14ac:dyDescent="0.25"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</row>
    <row r="4" spans="5:11" ht="15.75" thickBot="1" x14ac:dyDescent="0.3"/>
    <row r="5" spans="5:11" ht="16.5" thickTop="1" thickBot="1" x14ac:dyDescent="0.3">
      <c r="E5" s="4" t="s">
        <v>7</v>
      </c>
    </row>
    <row r="6" spans="5:11" ht="15.75" thickBot="1" x14ac:dyDescent="0.3">
      <c r="E6" s="33" t="s">
        <v>8</v>
      </c>
      <c r="F6" s="5"/>
      <c r="G6" s="5"/>
      <c r="H6" s="5"/>
      <c r="I6" s="5"/>
      <c r="J6" s="5"/>
      <c r="K6" s="6"/>
    </row>
    <row r="7" spans="5:11" ht="15.75" thickBot="1" x14ac:dyDescent="0.3">
      <c r="E7" s="7"/>
    </row>
    <row r="8" spans="5:11" ht="15.75" thickBot="1" x14ac:dyDescent="0.3">
      <c r="E8" s="8" t="s">
        <v>9</v>
      </c>
    </row>
    <row r="9" spans="5:11" x14ac:dyDescent="0.25">
      <c r="E9" s="8" t="s">
        <v>10</v>
      </c>
      <c r="F9" s="28"/>
      <c r="G9" s="10"/>
      <c r="H9" s="10"/>
      <c r="I9" s="10"/>
      <c r="J9" s="10"/>
      <c r="K9" s="11"/>
    </row>
    <row r="10" spans="5:11" x14ac:dyDescent="0.25">
      <c r="E10" s="26" t="s">
        <v>11</v>
      </c>
      <c r="F10" s="29"/>
      <c r="G10" s="13"/>
      <c r="H10" s="13"/>
      <c r="I10" s="13"/>
      <c r="J10" s="13"/>
      <c r="K10" s="14"/>
    </row>
    <row r="11" spans="5:11" ht="15.75" thickBot="1" x14ac:dyDescent="0.3">
      <c r="E11" s="27" t="s">
        <v>14</v>
      </c>
      <c r="F11" s="30"/>
      <c r="G11" s="16"/>
      <c r="H11" s="16"/>
      <c r="I11" s="16"/>
      <c r="J11" s="16"/>
      <c r="K11" s="17"/>
    </row>
    <row r="12" spans="5:11" ht="15.75" thickBot="1" x14ac:dyDescent="0.3">
      <c r="E12" s="22"/>
      <c r="F12" s="23"/>
      <c r="G12" s="23"/>
      <c r="H12" s="23"/>
      <c r="I12" s="23"/>
      <c r="J12" s="23"/>
      <c r="K12" s="23"/>
    </row>
    <row r="13" spans="5:11" ht="15.75" thickBot="1" x14ac:dyDescent="0.3">
      <c r="E13" s="9" t="s">
        <v>12</v>
      </c>
      <c r="F13" s="24"/>
      <c r="G13" s="24"/>
      <c r="H13" s="24"/>
      <c r="I13" s="24"/>
      <c r="J13" s="24"/>
      <c r="K13" s="25"/>
    </row>
    <row r="14" spans="5:11" ht="15.75" thickBot="1" x14ac:dyDescent="0.3">
      <c r="E14" s="18" t="s">
        <v>13</v>
      </c>
      <c r="F14" s="19"/>
      <c r="G14" s="19"/>
      <c r="H14" s="19"/>
      <c r="I14" s="19"/>
      <c r="J14" s="19"/>
      <c r="K14" s="20"/>
    </row>
  </sheetData>
  <mergeCells count="1">
    <mergeCell ref="E1:K1"/>
  </mergeCell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"/>
  <sheetViews>
    <sheetView workbookViewId="0">
      <selection activeCell="E6" sqref="E6"/>
    </sheetView>
  </sheetViews>
  <sheetFormatPr baseColWidth="10" defaultColWidth="9.140625" defaultRowHeight="15" x14ac:dyDescent="0.25"/>
  <cols>
    <col min="5" max="5" width="14.28515625" bestFit="1" customWidth="1"/>
    <col min="6" max="6" width="9.42578125" bestFit="1" customWidth="1"/>
  </cols>
  <sheetData>
    <row r="1" spans="5:11" ht="20.25" thickTop="1" thickBot="1" x14ac:dyDescent="0.3">
      <c r="E1" s="21" t="s">
        <v>0</v>
      </c>
      <c r="F1" s="1"/>
      <c r="G1" s="1"/>
      <c r="H1" s="1"/>
      <c r="I1" s="1"/>
      <c r="J1" s="1"/>
      <c r="K1" s="2"/>
    </row>
    <row r="2" spans="5:11" ht="15.75" thickTop="1" x14ac:dyDescent="0.25"/>
    <row r="3" spans="5:11" x14ac:dyDescent="0.25"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</row>
    <row r="4" spans="5:11" ht="15.75" thickBot="1" x14ac:dyDescent="0.3"/>
    <row r="5" spans="5:11" ht="16.5" thickTop="1" thickBot="1" x14ac:dyDescent="0.3">
      <c r="E5" s="4" t="s">
        <v>7</v>
      </c>
    </row>
    <row r="6" spans="5:11" ht="15.75" thickBot="1" x14ac:dyDescent="0.3">
      <c r="E6" s="33" t="s">
        <v>8</v>
      </c>
      <c r="F6" s="5">
        <v>329.35</v>
      </c>
      <c r="G6" s="5">
        <v>330.56</v>
      </c>
      <c r="H6" s="5">
        <v>212.76</v>
      </c>
      <c r="I6" s="5">
        <v>300.51</v>
      </c>
      <c r="J6" s="5">
        <v>150.25</v>
      </c>
      <c r="K6" s="6">
        <v>393.66</v>
      </c>
    </row>
    <row r="7" spans="5:11" ht="15.75" thickBot="1" x14ac:dyDescent="0.3">
      <c r="E7" s="7"/>
    </row>
    <row r="8" spans="5:11" ht="15.75" thickBot="1" x14ac:dyDescent="0.3">
      <c r="E8" s="8" t="s">
        <v>9</v>
      </c>
    </row>
    <row r="9" spans="5:11" x14ac:dyDescent="0.25">
      <c r="E9" s="9" t="s">
        <v>10</v>
      </c>
      <c r="F9" s="28">
        <f t="shared" ref="F9:K9" si="0">F6*20%</f>
        <v>65.87</v>
      </c>
      <c r="G9" s="10">
        <f t="shared" si="0"/>
        <v>66.112000000000009</v>
      </c>
      <c r="H9" s="10">
        <f t="shared" si="0"/>
        <v>42.552</v>
      </c>
      <c r="I9" s="10">
        <f t="shared" si="0"/>
        <v>60.102000000000004</v>
      </c>
      <c r="J9" s="10">
        <f t="shared" si="0"/>
        <v>30.05</v>
      </c>
      <c r="K9" s="11">
        <f t="shared" si="0"/>
        <v>78.732000000000014</v>
      </c>
    </row>
    <row r="10" spans="5:11" x14ac:dyDescent="0.25">
      <c r="E10" s="12" t="s">
        <v>11</v>
      </c>
      <c r="F10" s="29">
        <f>10+(4%*F6)</f>
        <v>23.173999999999999</v>
      </c>
      <c r="G10" s="13">
        <f t="shared" ref="G10:K10" si="1">10+(4%*G6)</f>
        <v>23.2224</v>
      </c>
      <c r="H10" s="13">
        <f t="shared" si="1"/>
        <v>18.510400000000001</v>
      </c>
      <c r="I10" s="13">
        <f t="shared" si="1"/>
        <v>22.020400000000002</v>
      </c>
      <c r="J10" s="13">
        <f t="shared" si="1"/>
        <v>16.009999999999998</v>
      </c>
      <c r="K10" s="14">
        <f t="shared" si="1"/>
        <v>25.746400000000001</v>
      </c>
    </row>
    <row r="11" spans="5:11" ht="15.75" thickBot="1" x14ac:dyDescent="0.3">
      <c r="E11" s="15" t="s">
        <v>14</v>
      </c>
      <c r="F11" s="30">
        <f>21%*F6-21%*F9</f>
        <v>55.330799999999996</v>
      </c>
      <c r="G11" s="16">
        <f t="shared" ref="G11:K11" si="2">21%*G6-21%*G9</f>
        <v>55.534079999999989</v>
      </c>
      <c r="H11" s="16">
        <f t="shared" si="2"/>
        <v>35.743679999999998</v>
      </c>
      <c r="I11" s="16">
        <f t="shared" si="2"/>
        <v>50.485679999999995</v>
      </c>
      <c r="J11" s="16">
        <f t="shared" si="2"/>
        <v>25.241999999999997</v>
      </c>
      <c r="K11" s="17">
        <f t="shared" si="2"/>
        <v>66.134879999999995</v>
      </c>
    </row>
    <row r="12" spans="5:11" ht="15.75" thickBot="1" x14ac:dyDescent="0.3">
      <c r="E12" s="22"/>
      <c r="F12" s="23"/>
      <c r="G12" s="23"/>
      <c r="H12" s="23"/>
      <c r="I12" s="23"/>
      <c r="J12" s="23"/>
      <c r="K12" s="23"/>
    </row>
    <row r="13" spans="5:11" ht="15.75" thickBot="1" x14ac:dyDescent="0.3">
      <c r="E13" s="9" t="s">
        <v>12</v>
      </c>
      <c r="F13" s="24">
        <f>SUM(F9:F11)</f>
        <v>144.37479999999999</v>
      </c>
      <c r="G13" s="24">
        <f t="shared" ref="G13:K13" si="3">SUM(G9:G11)</f>
        <v>144.86848000000001</v>
      </c>
      <c r="H13" s="24">
        <f t="shared" si="3"/>
        <v>96.806079999999994</v>
      </c>
      <c r="I13" s="24">
        <f t="shared" si="3"/>
        <v>132.60808</v>
      </c>
      <c r="J13" s="24">
        <f t="shared" si="3"/>
        <v>71.301999999999992</v>
      </c>
      <c r="K13" s="24">
        <f t="shared" si="3"/>
        <v>170.61328000000003</v>
      </c>
    </row>
    <row r="14" spans="5:11" ht="15.75" thickBot="1" x14ac:dyDescent="0.3">
      <c r="E14" s="18" t="s">
        <v>13</v>
      </c>
      <c r="F14" s="19">
        <f>F6-F13</f>
        <v>184.97520000000003</v>
      </c>
      <c r="G14" s="19">
        <f t="shared" ref="G14:K14" si="4">G6-G13</f>
        <v>185.69152</v>
      </c>
      <c r="H14" s="19">
        <f t="shared" si="4"/>
        <v>115.95392</v>
      </c>
      <c r="I14" s="19">
        <f t="shared" si="4"/>
        <v>167.90191999999999</v>
      </c>
      <c r="J14" s="19">
        <f t="shared" si="4"/>
        <v>78.948000000000008</v>
      </c>
      <c r="K14" s="20">
        <f t="shared" si="4"/>
        <v>223.04671999999999</v>
      </c>
    </row>
    <row r="17" spans="1:4" x14ac:dyDescent="0.25">
      <c r="A17" s="32" t="s">
        <v>15</v>
      </c>
      <c r="B17" s="32"/>
      <c r="C17" s="32"/>
      <c r="D17" s="32"/>
    </row>
    <row r="18" spans="1:4" x14ac:dyDescent="0.25">
      <c r="A18" s="31" t="s">
        <v>16</v>
      </c>
      <c r="B18" s="31"/>
      <c r="C18" s="31"/>
    </row>
  </sheetData>
  <mergeCells count="2">
    <mergeCell ref="E1:K1"/>
    <mergeCell ref="A18:C18"/>
  </mergeCells>
  <hyperlinks>
    <hyperlink ref="A18" r:id="rId1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Solución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2013-07-08T18:11:51Z</dcterms:modified>
</cp:coreProperties>
</file>