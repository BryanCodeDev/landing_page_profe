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\Downloads\Excel\Dashboard\"/>
    </mc:Choice>
  </mc:AlternateContent>
  <xr:revisionPtr revIDLastSave="0" documentId="13_ncr:1_{E4396673-C13F-474A-B235-F21DFE6DE967}" xr6:coauthVersionLast="47" xr6:coauthVersionMax="47" xr10:uidLastSave="{00000000-0000-0000-0000-000000000000}"/>
  <bookViews>
    <workbookView xWindow="-120" yWindow="-120" windowWidth="24240" windowHeight="13140" activeTab="1" xr2:uid="{81FA4D19-8ED9-4B98-B3EC-591206529867}"/>
  </bookViews>
  <sheets>
    <sheet name="Busqueda sinbuscarv" sheetId="6" r:id="rId1"/>
    <sheet name="FILTRAR DATOS" sheetId="8" r:id="rId2"/>
    <sheet name="Autoajuste" sheetId="9" r:id="rId3"/>
    <sheet name="Lista desplegable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8" l="1" a="1"/>
  <c r="H3" i="8" s="1"/>
  <c r="C2" i="6"/>
  <c r="D2" i="6"/>
  <c r="E2" i="6"/>
  <c r="B2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<sst xmlns="http://schemas.openxmlformats.org/spreadsheetml/2006/main" count="219" uniqueCount="46">
  <si>
    <t>Total</t>
  </si>
  <si>
    <t>Unidades de Servicios</t>
  </si>
  <si>
    <t>Recreación</t>
  </si>
  <si>
    <t>Educación</t>
  </si>
  <si>
    <t>Salud</t>
  </si>
  <si>
    <t>Biblioteca</t>
  </si>
  <si>
    <t>U.S Aranjuez</t>
  </si>
  <si>
    <t>U.S Manrique</t>
  </si>
  <si>
    <t>U.S Caldas</t>
  </si>
  <si>
    <t>U.S Itagui</t>
  </si>
  <si>
    <t>U.S Puerto Berrio</t>
  </si>
  <si>
    <t>U.S Girardota</t>
  </si>
  <si>
    <t>U.S Cristo Rey</t>
  </si>
  <si>
    <t>U.S Bello</t>
  </si>
  <si>
    <t>U.S Envigado</t>
  </si>
  <si>
    <t>U.S. La Ceja</t>
  </si>
  <si>
    <t>U.S San Ignacio.</t>
  </si>
  <si>
    <t>U.S Buenos Aires</t>
  </si>
  <si>
    <t>Centro Rec Los Osos.</t>
  </si>
  <si>
    <t>Centro Rec. Las Ballenas</t>
  </si>
  <si>
    <t>Centro Rec Los Grillos.</t>
  </si>
  <si>
    <t>Trabajador</t>
  </si>
  <si>
    <t>Cargo</t>
  </si>
  <si>
    <t>Sueldo</t>
  </si>
  <si>
    <t>H Extra</t>
  </si>
  <si>
    <t>Retenciones (%)</t>
  </si>
  <si>
    <t>Juan</t>
  </si>
  <si>
    <t>Administrativo</t>
  </si>
  <si>
    <t>Maria</t>
  </si>
  <si>
    <t>Técnico</t>
  </si>
  <si>
    <t>Luis</t>
  </si>
  <si>
    <t>Direccion</t>
  </si>
  <si>
    <t>Pedro</t>
  </si>
  <si>
    <t>Comercial</t>
  </si>
  <si>
    <t>Ana</t>
  </si>
  <si>
    <t>No cualificado</t>
  </si>
  <si>
    <t/>
  </si>
  <si>
    <t>#</t>
  </si>
  <si>
    <t>nombre</t>
  </si>
  <si>
    <t>apellllido jdfsdfdsff</t>
  </si>
  <si>
    <t>Nombres</t>
  </si>
  <si>
    <t xml:space="preserve">Juan </t>
  </si>
  <si>
    <t>Manuel</t>
  </si>
  <si>
    <t>Carlos</t>
  </si>
  <si>
    <t>Eliana</t>
  </si>
  <si>
    <t>Lista de valores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</si>
</sst>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4" fontId="2" fillId="0" borderId="0" xfId="0" applyNumberFormat="1" applyFont="1"/>
    <xf numFmtId="0" fontId="1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152400</xdr:rowOff>
        </xdr:from>
        <xdr:to>
          <xdr:col>8</xdr:col>
          <xdr:colOff>742950</xdr:colOff>
          <xdr:row>2</xdr:row>
          <xdr:rowOff>0</xdr:rowOff>
        </xdr:to>
        <xdr:sp macro="" textlink="">
          <xdr:nvSpPr>
            <xdr:cNvPr id="5121" name="Tex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FD5A3A-5456-4878-86CD-A27154DA2534}" name="datos" displayName="datos" ref="A3:F183" totalsRowShown="0" headerRowDxfId="0">
  <autoFilter ref="A3:F183" xr:uid="{57FD5A3A-5456-4878-86CD-A27154DA2534}"/>
  <tableColumns count="6">
    <tableColumn id="1" xr3:uid="{A5518F65-C575-4E53-BA6D-1852FBD8C83E}" name="Unidades de Servicios"/>
    <tableColumn id="2" xr3:uid="{2D8E3226-CE7D-405E-9F82-DBE1A163AB40}" name="Recreación"/>
    <tableColumn id="3" xr3:uid="{C8AAD622-D76F-4AE4-AAB0-7E6AC68028D9}" name="Educación"/>
    <tableColumn id="4" xr3:uid="{593FDB7B-0DE5-4C33-9F6C-E53E11BA0EE8}" name="Salud"/>
    <tableColumn id="5" xr3:uid="{0C36BCC3-C812-4E32-9CEF-08309A0AD269}" name="Biblioteca"/>
    <tableColumn id="6" xr3:uid="{8DBE64FF-3887-4A6F-A266-776F87E9AB5A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5D2E-ABF4-4C61-85BF-CE061D3543C4}">
  <sheetPr codeName="Hoja4"/>
  <dimension ref="A1:E10"/>
  <sheetViews>
    <sheetView workbookViewId="0">
      <selection activeCell="C2" sqref="C2"/>
    </sheetView>
  </sheetViews>
  <sheetFormatPr baseColWidth="10" defaultRowHeight="23.25" x14ac:dyDescent="0.35"/>
  <cols>
    <col min="1" max="1" width="17" style="4" bestFit="1" customWidth="1"/>
    <col min="2" max="2" width="22.42578125" style="4" bestFit="1" customWidth="1"/>
    <col min="3" max="3" width="13.28515625" style="4" bestFit="1" customWidth="1"/>
    <col min="4" max="4" width="11.28515625" style="4" bestFit="1" customWidth="1"/>
    <col min="5" max="5" width="24" style="4" bestFit="1" customWidth="1"/>
    <col min="6" max="16384" width="11.42578125" style="4"/>
  </cols>
  <sheetData>
    <row r="1" spans="1:5" x14ac:dyDescent="0.35">
      <c r="A1" s="1" t="s">
        <v>21</v>
      </c>
      <c r="B1" s="2" t="s">
        <v>22</v>
      </c>
      <c r="C1" s="2" t="s">
        <v>23</v>
      </c>
      <c r="D1" s="2" t="s">
        <v>24</v>
      </c>
      <c r="E1" s="3" t="s">
        <v>25</v>
      </c>
    </row>
    <row r="2" spans="1:5" x14ac:dyDescent="0.35">
      <c r="A2" s="5" t="s">
        <v>26</v>
      </c>
      <c r="B2" s="6" t="str">
        <f>DGET($A$5:$E$10,B5,$A$1:$A$2)</f>
        <v>Administrativo</v>
      </c>
      <c r="C2" s="6">
        <f t="shared" ref="C2:E2" si="0">DGET($A$5:$E$10,C5,$A$1:$A$2)</f>
        <v>1800</v>
      </c>
      <c r="D2" s="6">
        <f t="shared" si="0"/>
        <v>18</v>
      </c>
      <c r="E2" s="7">
        <f t="shared" si="0"/>
        <v>10</v>
      </c>
    </row>
    <row r="5" spans="1:5" x14ac:dyDescent="0.35">
      <c r="A5" s="4" t="s">
        <v>21</v>
      </c>
      <c r="B5" s="4" t="s">
        <v>22</v>
      </c>
      <c r="C5" s="4" t="s">
        <v>23</v>
      </c>
      <c r="D5" s="4" t="s">
        <v>24</v>
      </c>
      <c r="E5" s="4" t="s">
        <v>25</v>
      </c>
    </row>
    <row r="6" spans="1:5" x14ac:dyDescent="0.35">
      <c r="A6" s="4" t="s">
        <v>26</v>
      </c>
      <c r="B6" s="4" t="s">
        <v>27</v>
      </c>
      <c r="C6" s="8">
        <v>1800</v>
      </c>
      <c r="D6" s="4">
        <v>18</v>
      </c>
      <c r="E6" s="4">
        <v>10</v>
      </c>
    </row>
    <row r="7" spans="1:5" x14ac:dyDescent="0.35">
      <c r="A7" s="4" t="s">
        <v>28</v>
      </c>
      <c r="B7" s="4" t="s">
        <v>29</v>
      </c>
      <c r="C7" s="8">
        <v>1200</v>
      </c>
      <c r="D7" s="4">
        <v>21</v>
      </c>
      <c r="E7" s="4">
        <v>14</v>
      </c>
    </row>
    <row r="8" spans="1:5" x14ac:dyDescent="0.35">
      <c r="A8" s="4" t="s">
        <v>30</v>
      </c>
      <c r="B8" s="4" t="s">
        <v>31</v>
      </c>
      <c r="C8" s="8">
        <v>2500</v>
      </c>
      <c r="D8" s="4">
        <v>45</v>
      </c>
      <c r="E8" s="4">
        <v>22</v>
      </c>
    </row>
    <row r="9" spans="1:5" x14ac:dyDescent="0.35">
      <c r="A9" s="4" t="s">
        <v>32</v>
      </c>
      <c r="B9" s="4" t="s">
        <v>33</v>
      </c>
      <c r="C9" s="8">
        <v>1600</v>
      </c>
      <c r="D9" s="4">
        <v>25</v>
      </c>
      <c r="E9" s="4">
        <v>18</v>
      </c>
    </row>
    <row r="10" spans="1:5" x14ac:dyDescent="0.35">
      <c r="A10" s="4" t="s">
        <v>34</v>
      </c>
      <c r="B10" s="4" t="s">
        <v>35</v>
      </c>
      <c r="C10" s="4">
        <v>900</v>
      </c>
      <c r="D10" s="4">
        <v>15</v>
      </c>
      <c r="E10" s="4">
        <v>7</v>
      </c>
    </row>
  </sheetData>
  <dataValidations count="1">
    <dataValidation type="list" allowBlank="1" showInputMessage="1" showErrorMessage="1" sqref="A2" xr:uid="{CC425924-7EDE-4BB5-948D-8FCD3F38B3B1}">
      <formula1>$A$6:$A$10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71258-1CC7-4462-AE43-D9E99D366BB6}">
  <sheetPr codeName="Hoja1"/>
  <dimension ref="A2:O183"/>
  <sheetViews>
    <sheetView tabSelected="1" workbookViewId="0">
      <selection activeCell="O4" sqref="O4"/>
    </sheetView>
  </sheetViews>
  <sheetFormatPr baseColWidth="10" defaultRowHeight="15" x14ac:dyDescent="0.25"/>
  <cols>
    <col min="1" max="1" width="22.5703125" customWidth="1"/>
    <col min="2" max="2" width="12.85546875" customWidth="1"/>
    <col min="3" max="3" width="12" customWidth="1"/>
    <col min="5" max="5" width="12" customWidth="1"/>
  </cols>
  <sheetData>
    <row r="2" spans="1:15" x14ac:dyDescent="0.25">
      <c r="H2" t="s">
        <v>36</v>
      </c>
      <c r="O2" t="s">
        <v>36</v>
      </c>
    </row>
    <row r="3" spans="1:15" x14ac:dyDescent="0.25">
      <c r="A3" s="9" t="s">
        <v>1</v>
      </c>
      <c r="B3" s="9" t="s">
        <v>2</v>
      </c>
      <c r="C3" s="9" t="s">
        <v>3</v>
      </c>
      <c r="D3" s="9" t="s">
        <v>4</v>
      </c>
      <c r="E3" s="9" t="s">
        <v>5</v>
      </c>
      <c r="F3" s="9" t="s">
        <v>0</v>
      </c>
      <c r="H3" t="str" cm="1">
        <f t="array" ref="H3:M182">_xlfn._xlws.FILTER(datos[],ISNUMBER(SEARCH(H2,datos[Unidades de Servicios])),"No existe")</f>
        <v>U.S Aranjuez</v>
      </c>
      <c r="I3">
        <v>1500</v>
      </c>
      <c r="J3">
        <v>3573</v>
      </c>
      <c r="K3">
        <v>3562</v>
      </c>
      <c r="L3">
        <v>4870</v>
      </c>
      <c r="M3">
        <v>13505</v>
      </c>
    </row>
    <row r="4" spans="1:15" x14ac:dyDescent="0.25">
      <c r="A4" t="s">
        <v>6</v>
      </c>
      <c r="B4">
        <v>1500</v>
      </c>
      <c r="C4">
        <v>3573</v>
      </c>
      <c r="D4">
        <v>3562</v>
      </c>
      <c r="E4">
        <v>4870</v>
      </c>
      <c r="F4">
        <v>13505</v>
      </c>
      <c r="H4" t="str">
        <v>U.S Manrique</v>
      </c>
      <c r="I4">
        <v>2000</v>
      </c>
      <c r="J4">
        <v>315</v>
      </c>
      <c r="K4">
        <v>3210</v>
      </c>
      <c r="L4">
        <v>2315</v>
      </c>
      <c r="M4">
        <v>7840</v>
      </c>
    </row>
    <row r="5" spans="1:15" x14ac:dyDescent="0.25">
      <c r="A5" t="s">
        <v>7</v>
      </c>
      <c r="B5">
        <v>2000</v>
      </c>
      <c r="C5">
        <v>315</v>
      </c>
      <c r="D5">
        <v>3210</v>
      </c>
      <c r="E5">
        <v>2315</v>
      </c>
      <c r="F5">
        <v>7840</v>
      </c>
      <c r="H5" t="str">
        <v>U.S Caldas</v>
      </c>
      <c r="I5">
        <v>1400</v>
      </c>
      <c r="J5">
        <v>2665</v>
      </c>
      <c r="K5">
        <v>1245</v>
      </c>
      <c r="L5">
        <v>1784</v>
      </c>
      <c r="M5">
        <v>7094</v>
      </c>
    </row>
    <row r="6" spans="1:15" x14ac:dyDescent="0.25">
      <c r="A6" t="s">
        <v>8</v>
      </c>
      <c r="B6">
        <v>1400</v>
      </c>
      <c r="C6">
        <v>2665</v>
      </c>
      <c r="D6">
        <v>1245</v>
      </c>
      <c r="E6">
        <v>1784</v>
      </c>
      <c r="F6">
        <v>7094</v>
      </c>
      <c r="H6" t="str">
        <v>U.S Itagui</v>
      </c>
      <c r="I6">
        <v>1580</v>
      </c>
      <c r="J6">
        <v>2510</v>
      </c>
      <c r="K6">
        <v>321</v>
      </c>
      <c r="L6">
        <v>4541</v>
      </c>
      <c r="M6">
        <v>8952</v>
      </c>
    </row>
    <row r="7" spans="1:15" x14ac:dyDescent="0.25">
      <c r="A7" t="s">
        <v>9</v>
      </c>
      <c r="B7">
        <v>1580</v>
      </c>
      <c r="C7">
        <v>2510</v>
      </c>
      <c r="D7">
        <v>321</v>
      </c>
      <c r="E7">
        <v>4541</v>
      </c>
      <c r="F7">
        <v>8952</v>
      </c>
      <c r="H7" t="str">
        <v>U.S Puerto Berrio</v>
      </c>
      <c r="I7">
        <v>1540</v>
      </c>
      <c r="J7">
        <v>3562</v>
      </c>
      <c r="K7">
        <v>321</v>
      </c>
      <c r="L7">
        <v>187</v>
      </c>
      <c r="M7">
        <v>5610</v>
      </c>
    </row>
    <row r="8" spans="1:15" x14ac:dyDescent="0.25">
      <c r="A8" t="s">
        <v>10</v>
      </c>
      <c r="B8">
        <v>1540</v>
      </c>
      <c r="C8">
        <v>3562</v>
      </c>
      <c r="D8">
        <v>321</v>
      </c>
      <c r="E8">
        <v>187</v>
      </c>
      <c r="F8">
        <v>5610</v>
      </c>
      <c r="H8" t="str">
        <v>U.S Girardota</v>
      </c>
      <c r="I8">
        <v>15620</v>
      </c>
      <c r="J8">
        <v>3210</v>
      </c>
      <c r="K8">
        <v>354</v>
      </c>
      <c r="L8">
        <v>7980</v>
      </c>
      <c r="M8">
        <v>27164</v>
      </c>
    </row>
    <row r="9" spans="1:15" x14ac:dyDescent="0.25">
      <c r="A9" t="s">
        <v>11</v>
      </c>
      <c r="B9">
        <v>15620</v>
      </c>
      <c r="C9">
        <v>3210</v>
      </c>
      <c r="D9">
        <v>354</v>
      </c>
      <c r="E9">
        <v>7980</v>
      </c>
      <c r="F9">
        <v>27164</v>
      </c>
      <c r="H9" t="str">
        <v>U.S Cristo Rey</v>
      </c>
      <c r="I9">
        <v>450</v>
      </c>
      <c r="J9">
        <v>1245</v>
      </c>
      <c r="K9">
        <v>321</v>
      </c>
      <c r="L9">
        <v>498</v>
      </c>
      <c r="M9">
        <v>2514</v>
      </c>
    </row>
    <row r="10" spans="1:15" x14ac:dyDescent="0.25">
      <c r="A10" t="s">
        <v>12</v>
      </c>
      <c r="B10">
        <v>450</v>
      </c>
      <c r="C10">
        <v>1245</v>
      </c>
      <c r="D10">
        <v>321</v>
      </c>
      <c r="E10">
        <v>498</v>
      </c>
      <c r="F10">
        <v>2514</v>
      </c>
      <c r="H10" t="str">
        <v>U.S Bello</v>
      </c>
      <c r="I10">
        <v>981</v>
      </c>
      <c r="J10">
        <v>321</v>
      </c>
      <c r="K10">
        <v>1580</v>
      </c>
      <c r="L10">
        <v>3654</v>
      </c>
      <c r="M10">
        <v>6536</v>
      </c>
    </row>
    <row r="11" spans="1:15" x14ac:dyDescent="0.25">
      <c r="A11" t="s">
        <v>13</v>
      </c>
      <c r="B11">
        <v>981</v>
      </c>
      <c r="C11">
        <v>321</v>
      </c>
      <c r="D11">
        <v>1580</v>
      </c>
      <c r="E11">
        <v>3654</v>
      </c>
      <c r="F11">
        <v>6536</v>
      </c>
      <c r="H11" t="str">
        <v>U.S Envigado</v>
      </c>
      <c r="I11">
        <v>541</v>
      </c>
      <c r="J11">
        <v>321</v>
      </c>
      <c r="K11">
        <v>1540</v>
      </c>
      <c r="L11">
        <v>123</v>
      </c>
      <c r="M11">
        <v>2525</v>
      </c>
    </row>
    <row r="12" spans="1:15" x14ac:dyDescent="0.25">
      <c r="A12" t="s">
        <v>14</v>
      </c>
      <c r="B12">
        <v>541</v>
      </c>
      <c r="C12">
        <v>321</v>
      </c>
      <c r="D12">
        <v>1540</v>
      </c>
      <c r="E12">
        <v>123</v>
      </c>
      <c r="F12">
        <v>2525</v>
      </c>
      <c r="H12" t="str">
        <v>U.S. La Ceja</v>
      </c>
      <c r="I12">
        <v>562</v>
      </c>
      <c r="J12">
        <v>354</v>
      </c>
      <c r="K12">
        <v>15620</v>
      </c>
      <c r="L12">
        <v>3056</v>
      </c>
      <c r="M12">
        <v>19592</v>
      </c>
    </row>
    <row r="13" spans="1:15" x14ac:dyDescent="0.25">
      <c r="A13" t="s">
        <v>15</v>
      </c>
      <c r="B13">
        <v>562</v>
      </c>
      <c r="C13">
        <v>354</v>
      </c>
      <c r="D13">
        <v>15620</v>
      </c>
      <c r="E13">
        <v>3056</v>
      </c>
      <c r="F13">
        <v>19592</v>
      </c>
      <c r="H13" t="str">
        <v>U.S San Ignacio.</v>
      </c>
      <c r="I13">
        <v>665</v>
      </c>
      <c r="J13">
        <v>321</v>
      </c>
      <c r="K13">
        <v>450</v>
      </c>
      <c r="L13">
        <v>562</v>
      </c>
      <c r="M13">
        <v>1998</v>
      </c>
    </row>
    <row r="14" spans="1:15" x14ac:dyDescent="0.25">
      <c r="A14" t="s">
        <v>16</v>
      </c>
      <c r="B14">
        <v>665</v>
      </c>
      <c r="C14">
        <v>321</v>
      </c>
      <c r="D14">
        <v>450</v>
      </c>
      <c r="E14">
        <v>562</v>
      </c>
      <c r="F14">
        <v>1998</v>
      </c>
      <c r="H14" t="str">
        <v>U.S Buenos Aires</v>
      </c>
      <c r="I14">
        <v>2698</v>
      </c>
      <c r="J14">
        <v>3654</v>
      </c>
      <c r="K14">
        <v>3566</v>
      </c>
      <c r="L14">
        <v>665</v>
      </c>
      <c r="M14">
        <v>10583</v>
      </c>
    </row>
    <row r="15" spans="1:15" x14ac:dyDescent="0.25">
      <c r="A15" t="s">
        <v>17</v>
      </c>
      <c r="B15">
        <v>2698</v>
      </c>
      <c r="C15">
        <v>3654</v>
      </c>
      <c r="D15">
        <v>3566</v>
      </c>
      <c r="E15">
        <v>665</v>
      </c>
      <c r="F15">
        <v>10583</v>
      </c>
      <c r="H15" t="str">
        <v>Centro Rec Los Osos.</v>
      </c>
      <c r="I15">
        <v>16412</v>
      </c>
      <c r="J15">
        <v>123</v>
      </c>
      <c r="K15">
        <v>315</v>
      </c>
      <c r="L15">
        <v>2698</v>
      </c>
      <c r="M15">
        <v>19548</v>
      </c>
    </row>
    <row r="16" spans="1:15" x14ac:dyDescent="0.25">
      <c r="A16" t="s">
        <v>18</v>
      </c>
      <c r="B16">
        <v>16412</v>
      </c>
      <c r="C16">
        <v>123</v>
      </c>
      <c r="D16">
        <v>315</v>
      </c>
      <c r="E16">
        <v>2698</v>
      </c>
      <c r="F16">
        <v>19548</v>
      </c>
      <c r="H16" t="str">
        <v>Centro Rec. Las Ballenas</v>
      </c>
      <c r="I16">
        <v>25000</v>
      </c>
      <c r="J16">
        <v>3056</v>
      </c>
      <c r="K16">
        <v>2665</v>
      </c>
      <c r="L16">
        <v>16412</v>
      </c>
      <c r="M16">
        <v>47133</v>
      </c>
    </row>
    <row r="17" spans="1:13" x14ac:dyDescent="0.25">
      <c r="A17" t="s">
        <v>19</v>
      </c>
      <c r="B17">
        <v>25000</v>
      </c>
      <c r="C17">
        <v>3056</v>
      </c>
      <c r="D17">
        <v>2665</v>
      </c>
      <c r="E17">
        <v>16412</v>
      </c>
      <c r="F17">
        <v>47133</v>
      </c>
      <c r="H17" t="str">
        <v>Centro Rec Los Grillos.</v>
      </c>
      <c r="I17">
        <v>35222</v>
      </c>
      <c r="J17">
        <v>368</v>
      </c>
      <c r="K17">
        <v>2510</v>
      </c>
      <c r="L17">
        <v>25000</v>
      </c>
      <c r="M17">
        <v>63100</v>
      </c>
    </row>
    <row r="18" spans="1:13" x14ac:dyDescent="0.25">
      <c r="A18" t="s">
        <v>20</v>
      </c>
      <c r="B18">
        <v>35222</v>
      </c>
      <c r="C18">
        <v>368</v>
      </c>
      <c r="D18">
        <v>2510</v>
      </c>
      <c r="E18">
        <v>25000</v>
      </c>
      <c r="F18">
        <v>63100</v>
      </c>
      <c r="H18" t="str">
        <v>U.S Aranjuez</v>
      </c>
      <c r="I18">
        <v>315</v>
      </c>
      <c r="J18">
        <v>2563</v>
      </c>
      <c r="K18">
        <v>3562</v>
      </c>
      <c r="L18">
        <v>321</v>
      </c>
      <c r="M18">
        <v>6761</v>
      </c>
    </row>
    <row r="19" spans="1:13" x14ac:dyDescent="0.25">
      <c r="A19" t="s">
        <v>6</v>
      </c>
      <c r="B19">
        <v>315</v>
      </c>
      <c r="C19">
        <v>2563</v>
      </c>
      <c r="D19">
        <v>3562</v>
      </c>
      <c r="E19">
        <v>321</v>
      </c>
      <c r="F19">
        <v>6761</v>
      </c>
      <c r="H19" t="str">
        <v>U.S Manrique</v>
      </c>
      <c r="I19">
        <v>321</v>
      </c>
      <c r="J19">
        <v>241</v>
      </c>
      <c r="K19">
        <v>3210</v>
      </c>
      <c r="L19">
        <v>354</v>
      </c>
      <c r="M19">
        <v>4126</v>
      </c>
    </row>
    <row r="20" spans="1:13" x14ac:dyDescent="0.25">
      <c r="A20" t="s">
        <v>7</v>
      </c>
      <c r="B20">
        <v>321</v>
      </c>
      <c r="C20">
        <v>241</v>
      </c>
      <c r="D20">
        <v>3210</v>
      </c>
      <c r="E20">
        <v>354</v>
      </c>
      <c r="F20">
        <v>4126</v>
      </c>
      <c r="H20" t="str">
        <v>U.S Caldas</v>
      </c>
      <c r="I20">
        <v>321</v>
      </c>
      <c r="J20">
        <v>3589</v>
      </c>
      <c r="K20">
        <v>1245</v>
      </c>
      <c r="L20">
        <v>450</v>
      </c>
      <c r="M20">
        <v>5605</v>
      </c>
    </row>
    <row r="21" spans="1:13" x14ac:dyDescent="0.25">
      <c r="A21" t="s">
        <v>8</v>
      </c>
      <c r="B21">
        <v>321</v>
      </c>
      <c r="C21">
        <v>3589</v>
      </c>
      <c r="D21">
        <v>1245</v>
      </c>
      <c r="E21">
        <v>450</v>
      </c>
      <c r="F21">
        <v>5605</v>
      </c>
      <c r="H21" t="str">
        <v>U.S Itagui</v>
      </c>
      <c r="I21">
        <v>321</v>
      </c>
      <c r="J21">
        <v>3241</v>
      </c>
      <c r="K21">
        <v>321</v>
      </c>
      <c r="L21">
        <v>1245</v>
      </c>
      <c r="M21">
        <v>5128</v>
      </c>
    </row>
    <row r="22" spans="1:13" x14ac:dyDescent="0.25">
      <c r="A22" t="s">
        <v>9</v>
      </c>
      <c r="B22">
        <v>321</v>
      </c>
      <c r="C22">
        <v>3241</v>
      </c>
      <c r="D22">
        <v>321</v>
      </c>
      <c r="E22">
        <v>1245</v>
      </c>
      <c r="F22">
        <v>5128</v>
      </c>
      <c r="H22" t="str">
        <v>U.S Puerto Berrio</v>
      </c>
      <c r="I22">
        <v>354</v>
      </c>
      <c r="J22">
        <v>3325</v>
      </c>
      <c r="K22">
        <v>321</v>
      </c>
      <c r="L22">
        <v>1540</v>
      </c>
      <c r="M22">
        <v>5540</v>
      </c>
    </row>
    <row r="23" spans="1:13" x14ac:dyDescent="0.25">
      <c r="A23" t="s">
        <v>10</v>
      </c>
      <c r="B23">
        <v>354</v>
      </c>
      <c r="C23">
        <v>3325</v>
      </c>
      <c r="D23">
        <v>321</v>
      </c>
      <c r="E23">
        <v>1540</v>
      </c>
      <c r="F23">
        <v>5540</v>
      </c>
      <c r="H23" t="str">
        <v>U.S Girardota</v>
      </c>
      <c r="I23">
        <v>450</v>
      </c>
      <c r="J23">
        <v>210</v>
      </c>
      <c r="K23">
        <v>354</v>
      </c>
      <c r="L23">
        <v>1580</v>
      </c>
      <c r="M23">
        <v>2594</v>
      </c>
    </row>
    <row r="24" spans="1:13" x14ac:dyDescent="0.25">
      <c r="A24" t="s">
        <v>11</v>
      </c>
      <c r="B24">
        <v>450</v>
      </c>
      <c r="C24">
        <v>210</v>
      </c>
      <c r="D24">
        <v>354</v>
      </c>
      <c r="E24">
        <v>1580</v>
      </c>
      <c r="F24">
        <v>2594</v>
      </c>
      <c r="H24" t="str">
        <v>U.S Cristo Rey</v>
      </c>
      <c r="I24">
        <v>1245</v>
      </c>
      <c r="J24">
        <v>365</v>
      </c>
      <c r="K24">
        <v>321</v>
      </c>
      <c r="L24">
        <v>2510</v>
      </c>
      <c r="M24">
        <v>4441</v>
      </c>
    </row>
    <row r="25" spans="1:13" x14ac:dyDescent="0.25">
      <c r="A25" t="s">
        <v>12</v>
      </c>
      <c r="B25">
        <v>1245</v>
      </c>
      <c r="C25">
        <v>365</v>
      </c>
      <c r="D25">
        <v>321</v>
      </c>
      <c r="E25">
        <v>2510</v>
      </c>
      <c r="F25">
        <v>4441</v>
      </c>
      <c r="H25" t="str">
        <v>U.S Bello</v>
      </c>
      <c r="I25">
        <v>1540</v>
      </c>
      <c r="J25">
        <v>314</v>
      </c>
      <c r="K25">
        <v>3654</v>
      </c>
      <c r="L25">
        <v>2665</v>
      </c>
      <c r="M25">
        <v>8173</v>
      </c>
    </row>
    <row r="26" spans="1:13" x14ac:dyDescent="0.25">
      <c r="A26" t="s">
        <v>13</v>
      </c>
      <c r="B26">
        <v>1540</v>
      </c>
      <c r="C26">
        <v>314</v>
      </c>
      <c r="D26">
        <v>3654</v>
      </c>
      <c r="E26">
        <v>2665</v>
      </c>
      <c r="F26">
        <v>8173</v>
      </c>
      <c r="H26" t="str">
        <v>U.S Envigado</v>
      </c>
      <c r="I26">
        <v>1580</v>
      </c>
      <c r="J26">
        <v>256</v>
      </c>
      <c r="K26">
        <v>123</v>
      </c>
      <c r="L26">
        <v>256</v>
      </c>
      <c r="M26">
        <v>2215</v>
      </c>
    </row>
    <row r="27" spans="1:13" x14ac:dyDescent="0.25">
      <c r="A27" t="s">
        <v>14</v>
      </c>
      <c r="B27">
        <v>1580</v>
      </c>
      <c r="C27">
        <v>256</v>
      </c>
      <c r="D27">
        <v>123</v>
      </c>
      <c r="E27">
        <v>256</v>
      </c>
      <c r="F27">
        <v>2215</v>
      </c>
      <c r="H27" t="str">
        <v>U.S. La Ceja</v>
      </c>
      <c r="I27">
        <v>2510</v>
      </c>
      <c r="J27">
        <v>3548</v>
      </c>
      <c r="K27">
        <v>3056</v>
      </c>
      <c r="L27">
        <v>3548</v>
      </c>
      <c r="M27">
        <v>12662</v>
      </c>
    </row>
    <row r="28" spans="1:13" x14ac:dyDescent="0.25">
      <c r="A28" t="s">
        <v>15</v>
      </c>
      <c r="B28">
        <v>2510</v>
      </c>
      <c r="C28">
        <v>3548</v>
      </c>
      <c r="D28">
        <v>3056</v>
      </c>
      <c r="E28">
        <v>3548</v>
      </c>
      <c r="F28">
        <v>12662</v>
      </c>
      <c r="H28" t="str">
        <v>U.S San Ignacio.</v>
      </c>
      <c r="I28">
        <v>2665</v>
      </c>
      <c r="J28">
        <v>2563</v>
      </c>
      <c r="K28">
        <v>562</v>
      </c>
      <c r="L28">
        <v>2563</v>
      </c>
      <c r="M28">
        <v>8353</v>
      </c>
    </row>
    <row r="29" spans="1:13" x14ac:dyDescent="0.25">
      <c r="A29" t="s">
        <v>16</v>
      </c>
      <c r="B29">
        <v>2665</v>
      </c>
      <c r="C29">
        <v>2563</v>
      </c>
      <c r="D29">
        <v>562</v>
      </c>
      <c r="E29">
        <v>2563</v>
      </c>
      <c r="F29">
        <v>8353</v>
      </c>
      <c r="H29" t="str">
        <v>U.S Buenos Aires</v>
      </c>
      <c r="I29">
        <v>3210</v>
      </c>
      <c r="J29">
        <v>3143</v>
      </c>
      <c r="K29">
        <v>665</v>
      </c>
      <c r="L29">
        <v>3143</v>
      </c>
      <c r="M29">
        <v>10161</v>
      </c>
    </row>
    <row r="30" spans="1:13" x14ac:dyDescent="0.25">
      <c r="A30" t="s">
        <v>17</v>
      </c>
      <c r="B30">
        <v>3210</v>
      </c>
      <c r="C30">
        <v>3143</v>
      </c>
      <c r="D30">
        <v>665</v>
      </c>
      <c r="E30">
        <v>3143</v>
      </c>
      <c r="F30">
        <v>10161</v>
      </c>
      <c r="H30" t="str">
        <v>Centro Rec Los Osos.</v>
      </c>
      <c r="I30">
        <v>3562</v>
      </c>
      <c r="J30">
        <v>2561</v>
      </c>
      <c r="K30">
        <v>2698</v>
      </c>
      <c r="L30">
        <v>2561</v>
      </c>
      <c r="M30">
        <v>11382</v>
      </c>
    </row>
    <row r="31" spans="1:13" x14ac:dyDescent="0.25">
      <c r="A31" t="s">
        <v>18</v>
      </c>
      <c r="B31">
        <v>3562</v>
      </c>
      <c r="C31">
        <v>2561</v>
      </c>
      <c r="D31">
        <v>2698</v>
      </c>
      <c r="E31">
        <v>2561</v>
      </c>
      <c r="F31">
        <v>11382</v>
      </c>
      <c r="H31" t="str">
        <v>Centro Rec. Las Ballenas</v>
      </c>
      <c r="I31">
        <v>3566</v>
      </c>
      <c r="J31">
        <v>3514</v>
      </c>
      <c r="K31">
        <v>16412</v>
      </c>
      <c r="L31">
        <v>3514</v>
      </c>
      <c r="M31">
        <v>27006</v>
      </c>
    </row>
    <row r="32" spans="1:13" x14ac:dyDescent="0.25">
      <c r="A32" t="s">
        <v>19</v>
      </c>
      <c r="B32">
        <v>3566</v>
      </c>
      <c r="C32">
        <v>3514</v>
      </c>
      <c r="D32">
        <v>16412</v>
      </c>
      <c r="E32">
        <v>3514</v>
      </c>
      <c r="F32">
        <v>27006</v>
      </c>
      <c r="H32" t="str">
        <v>Centro Rec Los Grillos.</v>
      </c>
      <c r="I32">
        <v>15620</v>
      </c>
      <c r="J32">
        <v>3654</v>
      </c>
      <c r="K32">
        <v>25000</v>
      </c>
      <c r="L32">
        <v>3654</v>
      </c>
      <c r="M32">
        <v>47928</v>
      </c>
    </row>
    <row r="33" spans="1:13" x14ac:dyDescent="0.25">
      <c r="A33" t="s">
        <v>20</v>
      </c>
      <c r="B33">
        <v>15620</v>
      </c>
      <c r="C33">
        <v>3654</v>
      </c>
      <c r="D33">
        <v>25000</v>
      </c>
      <c r="E33">
        <v>3654</v>
      </c>
      <c r="F33">
        <v>47928</v>
      </c>
      <c r="H33" t="str">
        <v>U.S Aranjuez</v>
      </c>
      <c r="I33">
        <v>2563</v>
      </c>
      <c r="J33">
        <v>15620</v>
      </c>
      <c r="K33">
        <v>321</v>
      </c>
      <c r="L33">
        <v>2563</v>
      </c>
      <c r="M33">
        <v>21067</v>
      </c>
    </row>
    <row r="34" spans="1:13" x14ac:dyDescent="0.25">
      <c r="A34" t="s">
        <v>6</v>
      </c>
      <c r="B34">
        <v>2563</v>
      </c>
      <c r="C34">
        <v>15620</v>
      </c>
      <c r="D34">
        <v>321</v>
      </c>
      <c r="E34">
        <v>2563</v>
      </c>
      <c r="F34">
        <v>21067</v>
      </c>
      <c r="H34" t="str">
        <v>U.S Manrique</v>
      </c>
      <c r="I34">
        <v>241</v>
      </c>
      <c r="J34">
        <v>3566</v>
      </c>
      <c r="K34">
        <v>354</v>
      </c>
      <c r="L34">
        <v>210</v>
      </c>
      <c r="M34">
        <v>4371</v>
      </c>
    </row>
    <row r="35" spans="1:13" x14ac:dyDescent="0.25">
      <c r="A35" t="s">
        <v>7</v>
      </c>
      <c r="B35">
        <v>241</v>
      </c>
      <c r="C35">
        <v>3566</v>
      </c>
      <c r="D35">
        <v>354</v>
      </c>
      <c r="E35">
        <v>210</v>
      </c>
      <c r="F35">
        <v>4371</v>
      </c>
      <c r="H35" t="str">
        <v>U.S Caldas</v>
      </c>
      <c r="I35">
        <v>3589</v>
      </c>
      <c r="J35">
        <v>3562</v>
      </c>
      <c r="K35">
        <v>450</v>
      </c>
      <c r="L35">
        <v>241</v>
      </c>
      <c r="M35">
        <v>7842</v>
      </c>
    </row>
    <row r="36" spans="1:13" x14ac:dyDescent="0.25">
      <c r="A36" t="s">
        <v>8</v>
      </c>
      <c r="B36">
        <v>3589</v>
      </c>
      <c r="C36">
        <v>3562</v>
      </c>
      <c r="D36">
        <v>450</v>
      </c>
      <c r="E36">
        <v>241</v>
      </c>
      <c r="F36">
        <v>7842</v>
      </c>
      <c r="H36" t="str">
        <v>U.S Itagui</v>
      </c>
      <c r="I36">
        <v>3241</v>
      </c>
      <c r="J36">
        <v>3210</v>
      </c>
      <c r="K36">
        <v>1245</v>
      </c>
      <c r="L36">
        <v>256</v>
      </c>
      <c r="M36">
        <v>7952</v>
      </c>
    </row>
    <row r="37" spans="1:13" x14ac:dyDescent="0.25">
      <c r="A37" t="s">
        <v>9</v>
      </c>
      <c r="B37">
        <v>3241</v>
      </c>
      <c r="C37">
        <v>3210</v>
      </c>
      <c r="D37">
        <v>1245</v>
      </c>
      <c r="E37">
        <v>256</v>
      </c>
      <c r="F37">
        <v>7952</v>
      </c>
      <c r="H37" t="str">
        <v>U.S Puerto Berrio</v>
      </c>
      <c r="I37">
        <v>3325</v>
      </c>
      <c r="J37">
        <v>2665</v>
      </c>
      <c r="K37">
        <v>1540</v>
      </c>
      <c r="L37">
        <v>314</v>
      </c>
      <c r="M37">
        <v>7844</v>
      </c>
    </row>
    <row r="38" spans="1:13" x14ac:dyDescent="0.25">
      <c r="A38" t="s">
        <v>10</v>
      </c>
      <c r="B38">
        <v>3325</v>
      </c>
      <c r="C38">
        <v>2665</v>
      </c>
      <c r="D38">
        <v>1540</v>
      </c>
      <c r="E38">
        <v>314</v>
      </c>
      <c r="F38">
        <v>7844</v>
      </c>
      <c r="H38" t="str">
        <v>U.S Girardota</v>
      </c>
      <c r="I38">
        <v>210</v>
      </c>
      <c r="J38">
        <v>2510</v>
      </c>
      <c r="K38">
        <v>1580</v>
      </c>
      <c r="L38">
        <v>365</v>
      </c>
      <c r="M38">
        <v>4665</v>
      </c>
    </row>
    <row r="39" spans="1:13" x14ac:dyDescent="0.25">
      <c r="A39" t="s">
        <v>11</v>
      </c>
      <c r="B39">
        <v>210</v>
      </c>
      <c r="C39">
        <v>2510</v>
      </c>
      <c r="D39">
        <v>1580</v>
      </c>
      <c r="E39">
        <v>365</v>
      </c>
      <c r="F39">
        <v>4665</v>
      </c>
      <c r="H39" t="str">
        <v>U.S Cristo Rey</v>
      </c>
      <c r="I39">
        <v>365</v>
      </c>
      <c r="J39">
        <v>1580</v>
      </c>
      <c r="K39">
        <v>2510</v>
      </c>
      <c r="L39">
        <v>2561</v>
      </c>
      <c r="M39">
        <v>7016</v>
      </c>
    </row>
    <row r="40" spans="1:13" x14ac:dyDescent="0.25">
      <c r="A40" t="s">
        <v>12</v>
      </c>
      <c r="B40">
        <v>365</v>
      </c>
      <c r="C40">
        <v>1580</v>
      </c>
      <c r="D40">
        <v>2510</v>
      </c>
      <c r="E40">
        <v>2561</v>
      </c>
      <c r="F40">
        <v>7016</v>
      </c>
      <c r="H40" t="str">
        <v>U.S Bello</v>
      </c>
      <c r="I40">
        <v>314</v>
      </c>
      <c r="J40">
        <v>1540</v>
      </c>
      <c r="K40">
        <v>2665</v>
      </c>
      <c r="L40">
        <v>2563</v>
      </c>
      <c r="M40">
        <v>7082</v>
      </c>
    </row>
    <row r="41" spans="1:13" x14ac:dyDescent="0.25">
      <c r="A41" t="s">
        <v>13</v>
      </c>
      <c r="B41">
        <v>314</v>
      </c>
      <c r="C41">
        <v>1540</v>
      </c>
      <c r="D41">
        <v>2665</v>
      </c>
      <c r="E41">
        <v>2563</v>
      </c>
      <c r="F41">
        <v>7082</v>
      </c>
      <c r="H41" t="str">
        <v>U.S Envigado</v>
      </c>
      <c r="I41">
        <v>256</v>
      </c>
      <c r="J41">
        <v>1245</v>
      </c>
      <c r="K41">
        <v>256</v>
      </c>
      <c r="L41">
        <v>3143</v>
      </c>
      <c r="M41">
        <v>4900</v>
      </c>
    </row>
    <row r="42" spans="1:13" x14ac:dyDescent="0.25">
      <c r="A42" t="s">
        <v>14</v>
      </c>
      <c r="B42">
        <v>256</v>
      </c>
      <c r="C42">
        <v>1245</v>
      </c>
      <c r="D42">
        <v>256</v>
      </c>
      <c r="E42">
        <v>3143</v>
      </c>
      <c r="F42">
        <v>4900</v>
      </c>
      <c r="H42" t="str">
        <v>U.S. La Ceja</v>
      </c>
      <c r="I42">
        <v>3548</v>
      </c>
      <c r="J42">
        <v>450</v>
      </c>
      <c r="K42">
        <v>3548</v>
      </c>
      <c r="L42">
        <v>3241</v>
      </c>
      <c r="M42">
        <v>10787</v>
      </c>
    </row>
    <row r="43" spans="1:13" x14ac:dyDescent="0.25">
      <c r="A43" t="s">
        <v>15</v>
      </c>
      <c r="B43">
        <v>3548</v>
      </c>
      <c r="C43">
        <v>450</v>
      </c>
      <c r="D43">
        <v>3548</v>
      </c>
      <c r="E43">
        <v>3241</v>
      </c>
      <c r="F43">
        <v>10787</v>
      </c>
      <c r="H43" t="str">
        <v>U.S San Ignacio.</v>
      </c>
      <c r="I43">
        <v>2563</v>
      </c>
      <c r="J43">
        <v>354</v>
      </c>
      <c r="K43">
        <v>2563</v>
      </c>
      <c r="L43">
        <v>3325</v>
      </c>
      <c r="M43">
        <v>8805</v>
      </c>
    </row>
    <row r="44" spans="1:13" x14ac:dyDescent="0.25">
      <c r="A44" t="s">
        <v>16</v>
      </c>
      <c r="B44">
        <v>2563</v>
      </c>
      <c r="C44">
        <v>354</v>
      </c>
      <c r="D44">
        <v>2563</v>
      </c>
      <c r="E44">
        <v>3325</v>
      </c>
      <c r="F44">
        <v>8805</v>
      </c>
      <c r="H44" t="str">
        <v>U.S Buenos Aires</v>
      </c>
      <c r="I44">
        <v>3143</v>
      </c>
      <c r="J44">
        <v>321</v>
      </c>
      <c r="K44">
        <v>3143</v>
      </c>
      <c r="L44">
        <v>3514</v>
      </c>
      <c r="M44">
        <v>10121</v>
      </c>
    </row>
    <row r="45" spans="1:13" x14ac:dyDescent="0.25">
      <c r="A45" t="s">
        <v>17</v>
      </c>
      <c r="B45">
        <v>3143</v>
      </c>
      <c r="C45">
        <v>321</v>
      </c>
      <c r="D45">
        <v>3143</v>
      </c>
      <c r="E45">
        <v>3514</v>
      </c>
      <c r="F45">
        <v>10121</v>
      </c>
      <c r="H45" t="str">
        <v>Centro Rec Los Osos.</v>
      </c>
      <c r="I45">
        <v>2561</v>
      </c>
      <c r="J45">
        <v>321</v>
      </c>
      <c r="K45">
        <v>2561</v>
      </c>
      <c r="L45">
        <v>3548</v>
      </c>
      <c r="M45">
        <v>8991</v>
      </c>
    </row>
    <row r="46" spans="1:13" x14ac:dyDescent="0.25">
      <c r="A46" t="s">
        <v>18</v>
      </c>
      <c r="B46">
        <v>2561</v>
      </c>
      <c r="C46">
        <v>321</v>
      </c>
      <c r="D46">
        <v>2561</v>
      </c>
      <c r="E46">
        <v>3548</v>
      </c>
      <c r="F46">
        <v>8991</v>
      </c>
      <c r="H46" t="str">
        <v>Centro Rec. Las Ballenas</v>
      </c>
      <c r="I46">
        <v>3514</v>
      </c>
      <c r="J46">
        <v>321</v>
      </c>
      <c r="K46">
        <v>3514</v>
      </c>
      <c r="L46">
        <v>3589</v>
      </c>
      <c r="M46">
        <v>10938</v>
      </c>
    </row>
    <row r="47" spans="1:13" x14ac:dyDescent="0.25">
      <c r="A47" t="s">
        <v>19</v>
      </c>
      <c r="B47">
        <v>3514</v>
      </c>
      <c r="C47">
        <v>321</v>
      </c>
      <c r="D47">
        <v>3514</v>
      </c>
      <c r="E47">
        <v>3589</v>
      </c>
      <c r="F47">
        <v>10938</v>
      </c>
      <c r="H47" t="str">
        <v>Centro Rec Los Grillos.</v>
      </c>
      <c r="I47">
        <v>3654</v>
      </c>
      <c r="J47">
        <v>315</v>
      </c>
      <c r="K47">
        <v>3654</v>
      </c>
      <c r="L47">
        <v>3654</v>
      </c>
      <c r="M47">
        <v>11277</v>
      </c>
    </row>
    <row r="48" spans="1:13" x14ac:dyDescent="0.25">
      <c r="A48" t="s">
        <v>20</v>
      </c>
      <c r="B48">
        <v>3654</v>
      </c>
      <c r="C48">
        <v>315</v>
      </c>
      <c r="D48">
        <v>3654</v>
      </c>
      <c r="E48">
        <v>3654</v>
      </c>
      <c r="F48">
        <v>11277</v>
      </c>
      <c r="H48" t="str">
        <v>U.S Aranjuez</v>
      </c>
      <c r="I48">
        <v>1500</v>
      </c>
      <c r="J48">
        <v>3566</v>
      </c>
      <c r="K48">
        <v>3562</v>
      </c>
      <c r="L48">
        <v>3562</v>
      </c>
      <c r="M48">
        <v>12190</v>
      </c>
    </row>
    <row r="49" spans="1:13" x14ac:dyDescent="0.25">
      <c r="A49" t="s">
        <v>6</v>
      </c>
      <c r="B49">
        <v>1500</v>
      </c>
      <c r="C49">
        <v>3566</v>
      </c>
      <c r="D49">
        <v>3562</v>
      </c>
      <c r="E49">
        <v>3562</v>
      </c>
      <c r="F49">
        <v>12190</v>
      </c>
      <c r="H49" t="str">
        <v>U.S Manrique</v>
      </c>
      <c r="I49">
        <v>2000</v>
      </c>
      <c r="J49">
        <v>315</v>
      </c>
      <c r="K49">
        <v>3210</v>
      </c>
      <c r="L49">
        <v>3210</v>
      </c>
      <c r="M49">
        <v>8735</v>
      </c>
    </row>
    <row r="50" spans="1:13" x14ac:dyDescent="0.25">
      <c r="A50" t="s">
        <v>7</v>
      </c>
      <c r="B50">
        <v>2000</v>
      </c>
      <c r="C50">
        <v>315</v>
      </c>
      <c r="D50">
        <v>3210</v>
      </c>
      <c r="E50">
        <v>3210</v>
      </c>
      <c r="F50">
        <v>8735</v>
      </c>
      <c r="H50" t="str">
        <v>U.S Caldas</v>
      </c>
      <c r="I50">
        <v>1400</v>
      </c>
      <c r="J50">
        <v>2665</v>
      </c>
      <c r="K50">
        <v>1245</v>
      </c>
      <c r="L50">
        <v>1245</v>
      </c>
      <c r="M50">
        <v>6555</v>
      </c>
    </row>
    <row r="51" spans="1:13" x14ac:dyDescent="0.25">
      <c r="A51" t="s">
        <v>8</v>
      </c>
      <c r="B51">
        <v>1400</v>
      </c>
      <c r="C51">
        <v>2665</v>
      </c>
      <c r="D51">
        <v>1245</v>
      </c>
      <c r="E51">
        <v>1245</v>
      </c>
      <c r="F51">
        <v>6555</v>
      </c>
      <c r="H51" t="str">
        <v>U.S Itagui</v>
      </c>
      <c r="I51">
        <v>1580</v>
      </c>
      <c r="J51">
        <v>2510</v>
      </c>
      <c r="K51">
        <v>321</v>
      </c>
      <c r="L51">
        <v>321</v>
      </c>
      <c r="M51">
        <v>4732</v>
      </c>
    </row>
    <row r="52" spans="1:13" x14ac:dyDescent="0.25">
      <c r="A52" t="s">
        <v>9</v>
      </c>
      <c r="B52">
        <v>1580</v>
      </c>
      <c r="C52">
        <v>2510</v>
      </c>
      <c r="D52">
        <v>321</v>
      </c>
      <c r="E52">
        <v>321</v>
      </c>
      <c r="F52">
        <v>4732</v>
      </c>
      <c r="H52" t="str">
        <v>U.S Puerto Berrio</v>
      </c>
      <c r="I52">
        <v>1540</v>
      </c>
      <c r="J52">
        <v>3562</v>
      </c>
      <c r="K52">
        <v>321</v>
      </c>
      <c r="L52">
        <v>321</v>
      </c>
      <c r="M52">
        <v>5744</v>
      </c>
    </row>
    <row r="53" spans="1:13" x14ac:dyDescent="0.25">
      <c r="A53" t="s">
        <v>10</v>
      </c>
      <c r="B53">
        <v>1540</v>
      </c>
      <c r="C53">
        <v>3562</v>
      </c>
      <c r="D53">
        <v>321</v>
      </c>
      <c r="E53">
        <v>321</v>
      </c>
      <c r="F53">
        <v>5744</v>
      </c>
      <c r="H53" t="str">
        <v>U.S Girardota</v>
      </c>
      <c r="I53">
        <v>15620</v>
      </c>
      <c r="J53">
        <v>3210</v>
      </c>
      <c r="K53">
        <v>354</v>
      </c>
      <c r="L53">
        <v>354</v>
      </c>
      <c r="M53">
        <v>19538</v>
      </c>
    </row>
    <row r="54" spans="1:13" x14ac:dyDescent="0.25">
      <c r="A54" t="s">
        <v>11</v>
      </c>
      <c r="B54">
        <v>15620</v>
      </c>
      <c r="C54">
        <v>3210</v>
      </c>
      <c r="D54">
        <v>354</v>
      </c>
      <c r="E54">
        <v>354</v>
      </c>
      <c r="F54">
        <v>19538</v>
      </c>
      <c r="H54" t="str">
        <v>U.S Cristo Rey</v>
      </c>
      <c r="I54">
        <v>450</v>
      </c>
      <c r="J54">
        <v>1245</v>
      </c>
      <c r="K54">
        <v>321</v>
      </c>
      <c r="L54">
        <v>321</v>
      </c>
      <c r="M54">
        <v>2337</v>
      </c>
    </row>
    <row r="55" spans="1:13" x14ac:dyDescent="0.25">
      <c r="A55" t="s">
        <v>12</v>
      </c>
      <c r="B55">
        <v>450</v>
      </c>
      <c r="C55">
        <v>1245</v>
      </c>
      <c r="D55">
        <v>321</v>
      </c>
      <c r="E55">
        <v>321</v>
      </c>
      <c r="F55">
        <v>2337</v>
      </c>
      <c r="H55" t="str">
        <v>U.S Bello</v>
      </c>
      <c r="I55">
        <v>981</v>
      </c>
      <c r="J55">
        <v>321</v>
      </c>
      <c r="K55">
        <v>1580</v>
      </c>
      <c r="L55">
        <v>3654</v>
      </c>
      <c r="M55">
        <v>6536</v>
      </c>
    </row>
    <row r="56" spans="1:13" x14ac:dyDescent="0.25">
      <c r="A56" t="s">
        <v>13</v>
      </c>
      <c r="B56">
        <v>981</v>
      </c>
      <c r="C56">
        <v>321</v>
      </c>
      <c r="D56">
        <v>1580</v>
      </c>
      <c r="E56">
        <v>3654</v>
      </c>
      <c r="F56">
        <v>6536</v>
      </c>
      <c r="H56" t="str">
        <v>U.S Envigado</v>
      </c>
      <c r="I56">
        <v>541</v>
      </c>
      <c r="J56">
        <v>321</v>
      </c>
      <c r="K56">
        <v>1540</v>
      </c>
      <c r="L56">
        <v>123</v>
      </c>
      <c r="M56">
        <v>2525</v>
      </c>
    </row>
    <row r="57" spans="1:13" x14ac:dyDescent="0.25">
      <c r="A57" t="s">
        <v>14</v>
      </c>
      <c r="B57">
        <v>541</v>
      </c>
      <c r="C57">
        <v>321</v>
      </c>
      <c r="D57">
        <v>1540</v>
      </c>
      <c r="E57">
        <v>123</v>
      </c>
      <c r="F57">
        <v>2525</v>
      </c>
      <c r="H57" t="str">
        <v>U.S. La Ceja</v>
      </c>
      <c r="I57">
        <v>562</v>
      </c>
      <c r="J57">
        <v>354</v>
      </c>
      <c r="K57">
        <v>15620</v>
      </c>
      <c r="L57">
        <v>3056</v>
      </c>
      <c r="M57">
        <v>19592</v>
      </c>
    </row>
    <row r="58" spans="1:13" x14ac:dyDescent="0.25">
      <c r="A58" t="s">
        <v>15</v>
      </c>
      <c r="B58">
        <v>562</v>
      </c>
      <c r="C58">
        <v>354</v>
      </c>
      <c r="D58">
        <v>15620</v>
      </c>
      <c r="E58">
        <v>3056</v>
      </c>
      <c r="F58">
        <v>19592</v>
      </c>
      <c r="H58" t="str">
        <v>U.S San Ignacio.</v>
      </c>
      <c r="I58">
        <v>665</v>
      </c>
      <c r="J58">
        <v>321</v>
      </c>
      <c r="K58">
        <v>450</v>
      </c>
      <c r="L58">
        <v>562</v>
      </c>
      <c r="M58">
        <v>1998</v>
      </c>
    </row>
    <row r="59" spans="1:13" x14ac:dyDescent="0.25">
      <c r="A59" t="s">
        <v>16</v>
      </c>
      <c r="B59">
        <v>665</v>
      </c>
      <c r="C59">
        <v>321</v>
      </c>
      <c r="D59">
        <v>450</v>
      </c>
      <c r="E59">
        <v>562</v>
      </c>
      <c r="F59">
        <v>1998</v>
      </c>
      <c r="H59" t="str">
        <v>U.S Buenos Aires</v>
      </c>
      <c r="I59">
        <v>2698</v>
      </c>
      <c r="J59">
        <v>3654</v>
      </c>
      <c r="K59">
        <v>3566</v>
      </c>
      <c r="L59">
        <v>665</v>
      </c>
      <c r="M59">
        <v>10583</v>
      </c>
    </row>
    <row r="60" spans="1:13" x14ac:dyDescent="0.25">
      <c r="A60" t="s">
        <v>17</v>
      </c>
      <c r="B60">
        <v>2698</v>
      </c>
      <c r="C60">
        <v>3654</v>
      </c>
      <c r="D60">
        <v>3566</v>
      </c>
      <c r="E60">
        <v>665</v>
      </c>
      <c r="F60">
        <v>10583</v>
      </c>
      <c r="H60" t="str">
        <v>Centro Rec Los Osos.</v>
      </c>
      <c r="I60">
        <v>16412</v>
      </c>
      <c r="J60">
        <v>123</v>
      </c>
      <c r="K60">
        <v>315</v>
      </c>
      <c r="L60">
        <v>2698</v>
      </c>
      <c r="M60">
        <v>19548</v>
      </c>
    </row>
    <row r="61" spans="1:13" x14ac:dyDescent="0.25">
      <c r="A61" t="s">
        <v>18</v>
      </c>
      <c r="B61">
        <v>16412</v>
      </c>
      <c r="C61">
        <v>123</v>
      </c>
      <c r="D61">
        <v>315</v>
      </c>
      <c r="E61">
        <v>2698</v>
      </c>
      <c r="F61">
        <v>19548</v>
      </c>
      <c r="H61" t="str">
        <v>Centro Rec. Las Ballenas</v>
      </c>
      <c r="I61">
        <v>25000</v>
      </c>
      <c r="J61">
        <v>3056</v>
      </c>
      <c r="K61">
        <v>2665</v>
      </c>
      <c r="L61">
        <v>16412</v>
      </c>
      <c r="M61">
        <v>47133</v>
      </c>
    </row>
    <row r="62" spans="1:13" x14ac:dyDescent="0.25">
      <c r="A62" t="s">
        <v>19</v>
      </c>
      <c r="B62">
        <v>25000</v>
      </c>
      <c r="C62">
        <v>3056</v>
      </c>
      <c r="D62">
        <v>2665</v>
      </c>
      <c r="E62">
        <v>16412</v>
      </c>
      <c r="F62">
        <v>47133</v>
      </c>
      <c r="H62" t="str">
        <v>Centro Rec Los Grillos.</v>
      </c>
      <c r="I62">
        <v>35222</v>
      </c>
      <c r="J62">
        <v>368</v>
      </c>
      <c r="K62">
        <v>2510</v>
      </c>
      <c r="L62">
        <v>25000</v>
      </c>
      <c r="M62">
        <v>63100</v>
      </c>
    </row>
    <row r="63" spans="1:13" x14ac:dyDescent="0.25">
      <c r="A63" t="s">
        <v>20</v>
      </c>
      <c r="B63">
        <v>35222</v>
      </c>
      <c r="C63">
        <v>368</v>
      </c>
      <c r="D63">
        <v>2510</v>
      </c>
      <c r="E63">
        <v>25000</v>
      </c>
      <c r="F63">
        <v>63100</v>
      </c>
      <c r="H63" t="str">
        <v>U.S Aranjuez</v>
      </c>
      <c r="I63">
        <v>3575</v>
      </c>
      <c r="J63">
        <v>3571</v>
      </c>
      <c r="K63">
        <v>7818</v>
      </c>
      <c r="L63">
        <v>1498</v>
      </c>
      <c r="M63">
        <v>16462</v>
      </c>
    </row>
    <row r="64" spans="1:13" x14ac:dyDescent="0.25">
      <c r="A64" t="s">
        <v>6</v>
      </c>
      <c r="B64">
        <v>3575</v>
      </c>
      <c r="C64">
        <v>3571</v>
      </c>
      <c r="D64">
        <v>7818</v>
      </c>
      <c r="E64">
        <v>1498</v>
      </c>
      <c r="F64">
        <v>16462</v>
      </c>
      <c r="H64" t="str">
        <v>U.S Manrique</v>
      </c>
      <c r="I64">
        <v>2000</v>
      </c>
      <c r="J64">
        <v>2687</v>
      </c>
      <c r="K64">
        <v>1760</v>
      </c>
      <c r="L64">
        <v>7490</v>
      </c>
      <c r="M64">
        <v>13937</v>
      </c>
    </row>
    <row r="65" spans="1:13" x14ac:dyDescent="0.25">
      <c r="A65" t="s">
        <v>7</v>
      </c>
      <c r="B65">
        <v>2000</v>
      </c>
      <c r="C65">
        <v>2687</v>
      </c>
      <c r="D65">
        <v>1760</v>
      </c>
      <c r="E65">
        <v>7490</v>
      </c>
      <c r="F65">
        <v>13937</v>
      </c>
      <c r="H65" t="str">
        <v>U.S Caldas</v>
      </c>
      <c r="I65">
        <v>24756</v>
      </c>
      <c r="J65">
        <v>2665</v>
      </c>
      <c r="K65">
        <v>1260</v>
      </c>
      <c r="L65">
        <v>1357</v>
      </c>
      <c r="M65">
        <v>30038</v>
      </c>
    </row>
    <row r="66" spans="1:13" x14ac:dyDescent="0.25">
      <c r="A66" t="s">
        <v>8</v>
      </c>
      <c r="B66">
        <v>24756</v>
      </c>
      <c r="C66">
        <v>2665</v>
      </c>
      <c r="D66">
        <v>1260</v>
      </c>
      <c r="E66">
        <v>1357</v>
      </c>
      <c r="F66">
        <v>30038</v>
      </c>
      <c r="H66" t="str">
        <v>U.S Itagui</v>
      </c>
      <c r="I66">
        <v>1580</v>
      </c>
      <c r="J66">
        <v>2510</v>
      </c>
      <c r="K66">
        <v>480</v>
      </c>
      <c r="L66">
        <v>498</v>
      </c>
      <c r="M66">
        <v>5068</v>
      </c>
    </row>
    <row r="67" spans="1:13" x14ac:dyDescent="0.25">
      <c r="A67" t="s">
        <v>9</v>
      </c>
      <c r="B67">
        <v>1580</v>
      </c>
      <c r="C67">
        <v>2510</v>
      </c>
      <c r="D67">
        <v>480</v>
      </c>
      <c r="E67">
        <v>498</v>
      </c>
      <c r="F67">
        <v>5068</v>
      </c>
      <c r="H67" t="str">
        <v>U.S Puerto Berrio</v>
      </c>
      <c r="I67">
        <v>1540</v>
      </c>
      <c r="J67">
        <v>3562</v>
      </c>
      <c r="K67">
        <v>7896</v>
      </c>
      <c r="L67">
        <v>789</v>
      </c>
      <c r="M67">
        <v>13787</v>
      </c>
    </row>
    <row r="68" spans="1:13" x14ac:dyDescent="0.25">
      <c r="A68" t="s">
        <v>10</v>
      </c>
      <c r="B68">
        <v>1540</v>
      </c>
      <c r="C68">
        <v>3562</v>
      </c>
      <c r="D68">
        <v>7896</v>
      </c>
      <c r="E68">
        <v>789</v>
      </c>
      <c r="F68">
        <v>13787</v>
      </c>
      <c r="H68" t="str">
        <v>U.S Girardota</v>
      </c>
      <c r="I68">
        <v>15620</v>
      </c>
      <c r="J68">
        <v>3210</v>
      </c>
      <c r="K68">
        <v>179</v>
      </c>
      <c r="L68">
        <v>154</v>
      </c>
      <c r="M68">
        <v>19163</v>
      </c>
    </row>
    <row r="69" spans="1:13" x14ac:dyDescent="0.25">
      <c r="A69" t="s">
        <v>11</v>
      </c>
      <c r="B69">
        <v>15620</v>
      </c>
      <c r="C69">
        <v>3210</v>
      </c>
      <c r="D69">
        <v>179</v>
      </c>
      <c r="E69">
        <v>154</v>
      </c>
      <c r="F69">
        <v>19163</v>
      </c>
      <c r="H69" t="str">
        <v>U.S Cristo Rey</v>
      </c>
      <c r="I69">
        <v>450</v>
      </c>
      <c r="J69">
        <v>1245</v>
      </c>
      <c r="K69">
        <v>2799</v>
      </c>
      <c r="L69">
        <v>798</v>
      </c>
      <c r="M69">
        <v>5292</v>
      </c>
    </row>
    <row r="70" spans="1:13" x14ac:dyDescent="0.25">
      <c r="A70" t="s">
        <v>12</v>
      </c>
      <c r="B70">
        <v>450</v>
      </c>
      <c r="C70">
        <v>1245</v>
      </c>
      <c r="D70">
        <v>2799</v>
      </c>
      <c r="E70">
        <v>798</v>
      </c>
      <c r="F70">
        <v>5292</v>
      </c>
      <c r="H70" t="str">
        <v>U.S Bello</v>
      </c>
      <c r="I70">
        <v>981</v>
      </c>
      <c r="J70">
        <v>321</v>
      </c>
      <c r="K70">
        <v>1580</v>
      </c>
      <c r="L70">
        <v>1234</v>
      </c>
      <c r="M70">
        <v>4116</v>
      </c>
    </row>
    <row r="71" spans="1:13" x14ac:dyDescent="0.25">
      <c r="A71" t="s">
        <v>13</v>
      </c>
      <c r="B71">
        <v>981</v>
      </c>
      <c r="C71">
        <v>321</v>
      </c>
      <c r="D71">
        <v>1580</v>
      </c>
      <c r="E71">
        <v>1234</v>
      </c>
      <c r="F71">
        <v>4116</v>
      </c>
      <c r="H71" t="str">
        <v>U.S Envigado</v>
      </c>
      <c r="I71">
        <v>9478</v>
      </c>
      <c r="J71">
        <v>2562</v>
      </c>
      <c r="K71">
        <v>1540</v>
      </c>
      <c r="L71">
        <v>123</v>
      </c>
      <c r="M71">
        <v>13703</v>
      </c>
    </row>
    <row r="72" spans="1:13" x14ac:dyDescent="0.25">
      <c r="A72" t="s">
        <v>14</v>
      </c>
      <c r="B72">
        <v>9478</v>
      </c>
      <c r="C72">
        <v>2562</v>
      </c>
      <c r="D72">
        <v>1540</v>
      </c>
      <c r="E72">
        <v>123</v>
      </c>
      <c r="F72">
        <v>13703</v>
      </c>
      <c r="H72" t="str">
        <v>U.S. La Ceja</v>
      </c>
      <c r="I72">
        <v>562</v>
      </c>
      <c r="J72">
        <v>3841</v>
      </c>
      <c r="K72">
        <v>15620</v>
      </c>
      <c r="L72">
        <v>3056</v>
      </c>
      <c r="M72">
        <v>23079</v>
      </c>
    </row>
    <row r="73" spans="1:13" x14ac:dyDescent="0.25">
      <c r="A73" t="s">
        <v>15</v>
      </c>
      <c r="B73">
        <v>562</v>
      </c>
      <c r="C73">
        <v>3841</v>
      </c>
      <c r="D73">
        <v>15620</v>
      </c>
      <c r="E73">
        <v>3056</v>
      </c>
      <c r="F73">
        <v>23079</v>
      </c>
      <c r="H73" t="str">
        <v>U.S San Ignacio.</v>
      </c>
      <c r="I73">
        <v>2547</v>
      </c>
      <c r="J73">
        <v>2451</v>
      </c>
      <c r="K73">
        <v>450</v>
      </c>
      <c r="L73">
        <v>562</v>
      </c>
      <c r="M73">
        <v>6010</v>
      </c>
    </row>
    <row r="74" spans="1:13" x14ac:dyDescent="0.25">
      <c r="A74" t="s">
        <v>16</v>
      </c>
      <c r="B74">
        <v>2547</v>
      </c>
      <c r="C74">
        <v>2451</v>
      </c>
      <c r="D74">
        <v>450</v>
      </c>
      <c r="E74">
        <v>562</v>
      </c>
      <c r="F74">
        <v>6010</v>
      </c>
      <c r="H74" t="str">
        <v>U.S Buenos Aires</v>
      </c>
      <c r="I74">
        <v>2698</v>
      </c>
      <c r="J74">
        <v>3654</v>
      </c>
      <c r="K74">
        <v>3566</v>
      </c>
      <c r="L74">
        <v>665</v>
      </c>
      <c r="M74">
        <v>10583</v>
      </c>
    </row>
    <row r="75" spans="1:13" x14ac:dyDescent="0.25">
      <c r="A75" t="s">
        <v>17</v>
      </c>
      <c r="B75">
        <v>2698</v>
      </c>
      <c r="C75">
        <v>3654</v>
      </c>
      <c r="D75">
        <v>3566</v>
      </c>
      <c r="E75">
        <v>665</v>
      </c>
      <c r="F75">
        <v>10583</v>
      </c>
      <c r="H75" t="str">
        <v>Centro Rec Los Osos.</v>
      </c>
      <c r="I75">
        <v>2541</v>
      </c>
      <c r="J75">
        <v>3873</v>
      </c>
      <c r="K75">
        <v>315</v>
      </c>
      <c r="L75">
        <v>2698</v>
      </c>
      <c r="M75">
        <v>9427</v>
      </c>
    </row>
    <row r="76" spans="1:13" x14ac:dyDescent="0.25">
      <c r="A76" t="s">
        <v>18</v>
      </c>
      <c r="B76">
        <v>2541</v>
      </c>
      <c r="C76">
        <v>3873</v>
      </c>
      <c r="D76">
        <v>315</v>
      </c>
      <c r="E76">
        <v>2698</v>
      </c>
      <c r="F76">
        <v>9427</v>
      </c>
      <c r="H76" t="str">
        <v>Centro Rec. Las Ballenas</v>
      </c>
      <c r="I76">
        <v>25000</v>
      </c>
      <c r="J76">
        <v>3056</v>
      </c>
      <c r="K76">
        <v>2665</v>
      </c>
      <c r="L76">
        <v>16412</v>
      </c>
      <c r="M76">
        <v>47133</v>
      </c>
    </row>
    <row r="77" spans="1:13" x14ac:dyDescent="0.25">
      <c r="A77" t="s">
        <v>19</v>
      </c>
      <c r="B77">
        <v>25000</v>
      </c>
      <c r="C77">
        <v>3056</v>
      </c>
      <c r="D77">
        <v>2665</v>
      </c>
      <c r="E77">
        <v>16412</v>
      </c>
      <c r="F77">
        <v>47133</v>
      </c>
      <c r="H77" t="str">
        <v>Centro Rec Los Grillos.</v>
      </c>
      <c r="I77">
        <v>35222</v>
      </c>
      <c r="J77">
        <v>368</v>
      </c>
      <c r="K77">
        <v>2510</v>
      </c>
      <c r="L77">
        <v>25000</v>
      </c>
      <c r="M77">
        <v>63100</v>
      </c>
    </row>
    <row r="78" spans="1:13" x14ac:dyDescent="0.25">
      <c r="A78" t="s">
        <v>20</v>
      </c>
      <c r="B78">
        <v>35222</v>
      </c>
      <c r="C78">
        <v>368</v>
      </c>
      <c r="D78">
        <v>2510</v>
      </c>
      <c r="E78">
        <v>25000</v>
      </c>
      <c r="F78">
        <v>63100</v>
      </c>
      <c r="H78" t="str">
        <v>U.S Aranjuez</v>
      </c>
      <c r="I78">
        <v>315</v>
      </c>
      <c r="J78">
        <v>2563</v>
      </c>
      <c r="K78">
        <v>3562</v>
      </c>
      <c r="L78">
        <v>321</v>
      </c>
      <c r="M78">
        <v>6761</v>
      </c>
    </row>
    <row r="79" spans="1:13" x14ac:dyDescent="0.25">
      <c r="A79" t="s">
        <v>6</v>
      </c>
      <c r="B79">
        <v>315</v>
      </c>
      <c r="C79">
        <v>2563</v>
      </c>
      <c r="D79">
        <v>3562</v>
      </c>
      <c r="E79">
        <v>321</v>
      </c>
      <c r="F79">
        <v>6761</v>
      </c>
      <c r="H79" t="str">
        <v>U.S Manrique</v>
      </c>
      <c r="I79">
        <v>321</v>
      </c>
      <c r="J79">
        <v>241</v>
      </c>
      <c r="K79">
        <v>3210</v>
      </c>
      <c r="L79">
        <v>354</v>
      </c>
      <c r="M79">
        <v>4126</v>
      </c>
    </row>
    <row r="80" spans="1:13" x14ac:dyDescent="0.25">
      <c r="A80" t="s">
        <v>7</v>
      </c>
      <c r="B80">
        <v>321</v>
      </c>
      <c r="C80">
        <v>241</v>
      </c>
      <c r="D80">
        <v>3210</v>
      </c>
      <c r="E80">
        <v>354</v>
      </c>
      <c r="F80">
        <v>4126</v>
      </c>
      <c r="H80" t="str">
        <v>U.S Caldas</v>
      </c>
      <c r="I80">
        <v>321</v>
      </c>
      <c r="J80">
        <v>3589</v>
      </c>
      <c r="K80">
        <v>1245</v>
      </c>
      <c r="L80">
        <v>450</v>
      </c>
      <c r="M80">
        <v>5605</v>
      </c>
    </row>
    <row r="81" spans="1:13" x14ac:dyDescent="0.25">
      <c r="A81" t="s">
        <v>8</v>
      </c>
      <c r="B81">
        <v>321</v>
      </c>
      <c r="C81">
        <v>3589</v>
      </c>
      <c r="D81">
        <v>1245</v>
      </c>
      <c r="E81">
        <v>450</v>
      </c>
      <c r="F81">
        <v>5605</v>
      </c>
      <c r="H81" t="str">
        <v>U.S Itagui</v>
      </c>
      <c r="I81">
        <v>321</v>
      </c>
      <c r="J81">
        <v>3241</v>
      </c>
      <c r="K81">
        <v>321</v>
      </c>
      <c r="L81">
        <v>1245</v>
      </c>
      <c r="M81">
        <v>5128</v>
      </c>
    </row>
    <row r="82" spans="1:13" x14ac:dyDescent="0.25">
      <c r="A82" t="s">
        <v>9</v>
      </c>
      <c r="B82">
        <v>321</v>
      </c>
      <c r="C82">
        <v>3241</v>
      </c>
      <c r="D82">
        <v>321</v>
      </c>
      <c r="E82">
        <v>1245</v>
      </c>
      <c r="F82">
        <v>5128</v>
      </c>
      <c r="H82" t="str">
        <v>U.S Puerto Berrio</v>
      </c>
      <c r="I82">
        <v>354</v>
      </c>
      <c r="J82">
        <v>3325</v>
      </c>
      <c r="K82">
        <v>321</v>
      </c>
      <c r="L82">
        <v>1540</v>
      </c>
      <c r="M82">
        <v>5540</v>
      </c>
    </row>
    <row r="83" spans="1:13" x14ac:dyDescent="0.25">
      <c r="A83" t="s">
        <v>10</v>
      </c>
      <c r="B83">
        <v>354</v>
      </c>
      <c r="C83">
        <v>3325</v>
      </c>
      <c r="D83">
        <v>321</v>
      </c>
      <c r="E83">
        <v>1540</v>
      </c>
      <c r="F83">
        <v>5540</v>
      </c>
      <c r="H83" t="str">
        <v>U.S Girardota</v>
      </c>
      <c r="I83">
        <v>450</v>
      </c>
      <c r="J83">
        <v>210</v>
      </c>
      <c r="K83">
        <v>354</v>
      </c>
      <c r="L83">
        <v>1580</v>
      </c>
      <c r="M83">
        <v>2594</v>
      </c>
    </row>
    <row r="84" spans="1:13" x14ac:dyDescent="0.25">
      <c r="A84" t="s">
        <v>11</v>
      </c>
      <c r="B84">
        <v>450</v>
      </c>
      <c r="C84">
        <v>210</v>
      </c>
      <c r="D84">
        <v>354</v>
      </c>
      <c r="E84">
        <v>1580</v>
      </c>
      <c r="F84">
        <v>2594</v>
      </c>
      <c r="H84" t="str">
        <v>U.S Cristo Rey</v>
      </c>
      <c r="I84">
        <v>1245</v>
      </c>
      <c r="J84">
        <v>365</v>
      </c>
      <c r="K84">
        <v>321</v>
      </c>
      <c r="L84">
        <v>2510</v>
      </c>
      <c r="M84">
        <v>4441</v>
      </c>
    </row>
    <row r="85" spans="1:13" x14ac:dyDescent="0.25">
      <c r="A85" t="s">
        <v>12</v>
      </c>
      <c r="B85">
        <v>1245</v>
      </c>
      <c r="C85">
        <v>365</v>
      </c>
      <c r="D85">
        <v>321</v>
      </c>
      <c r="E85">
        <v>2510</v>
      </c>
      <c r="F85">
        <v>4441</v>
      </c>
      <c r="H85" t="str">
        <v>U.S Bello</v>
      </c>
      <c r="I85">
        <v>1540</v>
      </c>
      <c r="J85">
        <v>314</v>
      </c>
      <c r="K85">
        <v>3654</v>
      </c>
      <c r="L85">
        <v>2665</v>
      </c>
      <c r="M85">
        <v>8173</v>
      </c>
    </row>
    <row r="86" spans="1:13" x14ac:dyDescent="0.25">
      <c r="A86" t="s">
        <v>13</v>
      </c>
      <c r="B86">
        <v>1540</v>
      </c>
      <c r="C86">
        <v>314</v>
      </c>
      <c r="D86">
        <v>3654</v>
      </c>
      <c r="E86">
        <v>2665</v>
      </c>
      <c r="F86">
        <v>8173</v>
      </c>
      <c r="H86" t="str">
        <v>U.S Envigado</v>
      </c>
      <c r="I86">
        <v>1580</v>
      </c>
      <c r="J86">
        <v>256</v>
      </c>
      <c r="K86">
        <v>123</v>
      </c>
      <c r="L86">
        <v>256</v>
      </c>
      <c r="M86">
        <v>2215</v>
      </c>
    </row>
    <row r="87" spans="1:13" x14ac:dyDescent="0.25">
      <c r="A87" t="s">
        <v>14</v>
      </c>
      <c r="B87">
        <v>1580</v>
      </c>
      <c r="C87">
        <v>256</v>
      </c>
      <c r="D87">
        <v>123</v>
      </c>
      <c r="E87">
        <v>256</v>
      </c>
      <c r="F87">
        <v>2215</v>
      </c>
      <c r="H87" t="str">
        <v>U.S. La Ceja</v>
      </c>
      <c r="I87">
        <v>2510</v>
      </c>
      <c r="J87">
        <v>3548</v>
      </c>
      <c r="K87">
        <v>3056</v>
      </c>
      <c r="L87">
        <v>3548</v>
      </c>
      <c r="M87">
        <v>12662</v>
      </c>
    </row>
    <row r="88" spans="1:13" x14ac:dyDescent="0.25">
      <c r="A88" t="s">
        <v>15</v>
      </c>
      <c r="B88">
        <v>2510</v>
      </c>
      <c r="C88">
        <v>3548</v>
      </c>
      <c r="D88">
        <v>3056</v>
      </c>
      <c r="E88">
        <v>3548</v>
      </c>
      <c r="F88">
        <v>12662</v>
      </c>
      <c r="H88" t="str">
        <v>U.S San Ignacio.</v>
      </c>
      <c r="I88">
        <v>2665</v>
      </c>
      <c r="J88">
        <v>2563</v>
      </c>
      <c r="K88">
        <v>562</v>
      </c>
      <c r="L88">
        <v>2563</v>
      </c>
      <c r="M88">
        <v>8353</v>
      </c>
    </row>
    <row r="89" spans="1:13" x14ac:dyDescent="0.25">
      <c r="A89" t="s">
        <v>16</v>
      </c>
      <c r="B89">
        <v>2665</v>
      </c>
      <c r="C89">
        <v>2563</v>
      </c>
      <c r="D89">
        <v>562</v>
      </c>
      <c r="E89">
        <v>2563</v>
      </c>
      <c r="F89">
        <v>8353</v>
      </c>
      <c r="H89" t="str">
        <v>U.S Buenos Aires</v>
      </c>
      <c r="I89">
        <v>3210</v>
      </c>
      <c r="J89">
        <v>3143</v>
      </c>
      <c r="K89">
        <v>665</v>
      </c>
      <c r="L89">
        <v>3143</v>
      </c>
      <c r="M89">
        <v>10161</v>
      </c>
    </row>
    <row r="90" spans="1:13" x14ac:dyDescent="0.25">
      <c r="A90" t="s">
        <v>17</v>
      </c>
      <c r="B90">
        <v>3210</v>
      </c>
      <c r="C90">
        <v>3143</v>
      </c>
      <c r="D90">
        <v>665</v>
      </c>
      <c r="E90">
        <v>3143</v>
      </c>
      <c r="F90">
        <v>10161</v>
      </c>
      <c r="H90" t="str">
        <v>Centro Rec Los Osos.</v>
      </c>
      <c r="I90">
        <v>3562</v>
      </c>
      <c r="J90">
        <v>2561</v>
      </c>
      <c r="K90">
        <v>2698</v>
      </c>
      <c r="L90">
        <v>2561</v>
      </c>
      <c r="M90">
        <v>11382</v>
      </c>
    </row>
    <row r="91" spans="1:13" x14ac:dyDescent="0.25">
      <c r="A91" t="s">
        <v>18</v>
      </c>
      <c r="B91">
        <v>3562</v>
      </c>
      <c r="C91">
        <v>2561</v>
      </c>
      <c r="D91">
        <v>2698</v>
      </c>
      <c r="E91">
        <v>2561</v>
      </c>
      <c r="F91">
        <v>11382</v>
      </c>
      <c r="H91" t="str">
        <v>Centro Rec. Las Ballenas</v>
      </c>
      <c r="I91">
        <v>3566</v>
      </c>
      <c r="J91">
        <v>3514</v>
      </c>
      <c r="K91">
        <v>16412</v>
      </c>
      <c r="L91">
        <v>3514</v>
      </c>
      <c r="M91">
        <v>27006</v>
      </c>
    </row>
    <row r="92" spans="1:13" x14ac:dyDescent="0.25">
      <c r="A92" t="s">
        <v>19</v>
      </c>
      <c r="B92">
        <v>3566</v>
      </c>
      <c r="C92">
        <v>3514</v>
      </c>
      <c r="D92">
        <v>16412</v>
      </c>
      <c r="E92">
        <v>3514</v>
      </c>
      <c r="F92">
        <v>27006</v>
      </c>
      <c r="H92" t="str">
        <v>Centro Rec Los Grillos.</v>
      </c>
      <c r="I92">
        <v>15620</v>
      </c>
      <c r="J92">
        <v>3654</v>
      </c>
      <c r="K92">
        <v>25000</v>
      </c>
      <c r="L92">
        <v>3654</v>
      </c>
      <c r="M92">
        <v>47928</v>
      </c>
    </row>
    <row r="93" spans="1:13" x14ac:dyDescent="0.25">
      <c r="A93" t="s">
        <v>20</v>
      </c>
      <c r="B93">
        <v>15620</v>
      </c>
      <c r="C93">
        <v>3654</v>
      </c>
      <c r="D93">
        <v>25000</v>
      </c>
      <c r="E93">
        <v>3654</v>
      </c>
      <c r="F93">
        <v>47928</v>
      </c>
      <c r="H93" t="str">
        <v>U.S Aranjuez</v>
      </c>
      <c r="I93">
        <v>2563</v>
      </c>
      <c r="J93">
        <v>15620</v>
      </c>
      <c r="K93">
        <v>321</v>
      </c>
      <c r="L93">
        <v>2563</v>
      </c>
      <c r="M93">
        <v>21067</v>
      </c>
    </row>
    <row r="94" spans="1:13" x14ac:dyDescent="0.25">
      <c r="A94" t="s">
        <v>6</v>
      </c>
      <c r="B94">
        <v>2563</v>
      </c>
      <c r="C94">
        <v>15620</v>
      </c>
      <c r="D94">
        <v>321</v>
      </c>
      <c r="E94">
        <v>2563</v>
      </c>
      <c r="F94">
        <v>21067</v>
      </c>
      <c r="H94" t="str">
        <v>U.S Manrique</v>
      </c>
      <c r="I94">
        <v>241</v>
      </c>
      <c r="J94">
        <v>3566</v>
      </c>
      <c r="K94">
        <v>354</v>
      </c>
      <c r="L94">
        <v>210</v>
      </c>
      <c r="M94">
        <v>4371</v>
      </c>
    </row>
    <row r="95" spans="1:13" x14ac:dyDescent="0.25">
      <c r="A95" t="s">
        <v>7</v>
      </c>
      <c r="B95">
        <v>241</v>
      </c>
      <c r="C95">
        <v>3566</v>
      </c>
      <c r="D95">
        <v>354</v>
      </c>
      <c r="E95">
        <v>210</v>
      </c>
      <c r="F95">
        <v>4371</v>
      </c>
      <c r="H95" t="str">
        <v>U.S Caldas</v>
      </c>
      <c r="I95">
        <v>3589</v>
      </c>
      <c r="J95">
        <v>3562</v>
      </c>
      <c r="K95">
        <v>450</v>
      </c>
      <c r="L95">
        <v>241</v>
      </c>
      <c r="M95">
        <v>7842</v>
      </c>
    </row>
    <row r="96" spans="1:13" x14ac:dyDescent="0.25">
      <c r="A96" t="s">
        <v>8</v>
      </c>
      <c r="B96">
        <v>3589</v>
      </c>
      <c r="C96">
        <v>3562</v>
      </c>
      <c r="D96">
        <v>450</v>
      </c>
      <c r="E96">
        <v>241</v>
      </c>
      <c r="F96">
        <v>7842</v>
      </c>
      <c r="H96" t="str">
        <v>U.S Itagui</v>
      </c>
      <c r="I96">
        <v>3241</v>
      </c>
      <c r="J96">
        <v>3210</v>
      </c>
      <c r="K96">
        <v>1245</v>
      </c>
      <c r="L96">
        <v>256</v>
      </c>
      <c r="M96">
        <v>7952</v>
      </c>
    </row>
    <row r="97" spans="1:13" x14ac:dyDescent="0.25">
      <c r="A97" t="s">
        <v>9</v>
      </c>
      <c r="B97">
        <v>3241</v>
      </c>
      <c r="C97">
        <v>3210</v>
      </c>
      <c r="D97">
        <v>1245</v>
      </c>
      <c r="E97">
        <v>256</v>
      </c>
      <c r="F97">
        <v>7952</v>
      </c>
      <c r="H97" t="str">
        <v>U.S Puerto Berrio</v>
      </c>
      <c r="I97">
        <v>3325</v>
      </c>
      <c r="J97">
        <v>2665</v>
      </c>
      <c r="K97">
        <v>1540</v>
      </c>
      <c r="L97">
        <v>314</v>
      </c>
      <c r="M97">
        <v>7844</v>
      </c>
    </row>
    <row r="98" spans="1:13" x14ac:dyDescent="0.25">
      <c r="A98" t="s">
        <v>10</v>
      </c>
      <c r="B98">
        <v>3325</v>
      </c>
      <c r="C98">
        <v>2665</v>
      </c>
      <c r="D98">
        <v>1540</v>
      </c>
      <c r="E98">
        <v>314</v>
      </c>
      <c r="F98">
        <v>7844</v>
      </c>
      <c r="H98" t="str">
        <v>U.S Girardota</v>
      </c>
      <c r="I98">
        <v>210</v>
      </c>
      <c r="J98">
        <v>2510</v>
      </c>
      <c r="K98">
        <v>1580</v>
      </c>
      <c r="L98">
        <v>365</v>
      </c>
      <c r="M98">
        <v>4665</v>
      </c>
    </row>
    <row r="99" spans="1:13" x14ac:dyDescent="0.25">
      <c r="A99" t="s">
        <v>11</v>
      </c>
      <c r="B99">
        <v>210</v>
      </c>
      <c r="C99">
        <v>2510</v>
      </c>
      <c r="D99">
        <v>1580</v>
      </c>
      <c r="E99">
        <v>365</v>
      </c>
      <c r="F99">
        <v>4665</v>
      </c>
      <c r="H99" t="str">
        <v>U.S Cristo Rey</v>
      </c>
      <c r="I99">
        <v>365</v>
      </c>
      <c r="J99">
        <v>1580</v>
      </c>
      <c r="K99">
        <v>2510</v>
      </c>
      <c r="L99">
        <v>2561</v>
      </c>
      <c r="M99">
        <v>7016</v>
      </c>
    </row>
    <row r="100" spans="1:13" x14ac:dyDescent="0.25">
      <c r="A100" t="s">
        <v>12</v>
      </c>
      <c r="B100">
        <v>365</v>
      </c>
      <c r="C100">
        <v>1580</v>
      </c>
      <c r="D100">
        <v>2510</v>
      </c>
      <c r="E100">
        <v>2561</v>
      </c>
      <c r="F100">
        <v>7016</v>
      </c>
      <c r="H100" t="str">
        <v>U.S Bello</v>
      </c>
      <c r="I100">
        <v>314</v>
      </c>
      <c r="J100">
        <v>1540</v>
      </c>
      <c r="K100">
        <v>2665</v>
      </c>
      <c r="L100">
        <v>2563</v>
      </c>
      <c r="M100">
        <v>7082</v>
      </c>
    </row>
    <row r="101" spans="1:13" x14ac:dyDescent="0.25">
      <c r="A101" t="s">
        <v>13</v>
      </c>
      <c r="B101">
        <v>314</v>
      </c>
      <c r="C101">
        <v>1540</v>
      </c>
      <c r="D101">
        <v>2665</v>
      </c>
      <c r="E101">
        <v>2563</v>
      </c>
      <c r="F101">
        <v>7082</v>
      </c>
      <c r="H101" t="str">
        <v>U.S Envigado</v>
      </c>
      <c r="I101">
        <v>256</v>
      </c>
      <c r="J101">
        <v>1245</v>
      </c>
      <c r="K101">
        <v>256</v>
      </c>
      <c r="L101">
        <v>3143</v>
      </c>
      <c r="M101">
        <v>4900</v>
      </c>
    </row>
    <row r="102" spans="1:13" x14ac:dyDescent="0.25">
      <c r="A102" t="s">
        <v>14</v>
      </c>
      <c r="B102">
        <v>256</v>
      </c>
      <c r="C102">
        <v>1245</v>
      </c>
      <c r="D102">
        <v>256</v>
      </c>
      <c r="E102">
        <v>3143</v>
      </c>
      <c r="F102">
        <v>4900</v>
      </c>
      <c r="H102" t="str">
        <v>U.S. La Ceja</v>
      </c>
      <c r="I102">
        <v>3548</v>
      </c>
      <c r="J102">
        <v>450</v>
      </c>
      <c r="K102">
        <v>3548</v>
      </c>
      <c r="L102">
        <v>3241</v>
      </c>
      <c r="M102">
        <v>10787</v>
      </c>
    </row>
    <row r="103" spans="1:13" x14ac:dyDescent="0.25">
      <c r="A103" t="s">
        <v>15</v>
      </c>
      <c r="B103">
        <v>3548</v>
      </c>
      <c r="C103">
        <v>450</v>
      </c>
      <c r="D103">
        <v>3548</v>
      </c>
      <c r="E103">
        <v>3241</v>
      </c>
      <c r="F103">
        <v>10787</v>
      </c>
      <c r="H103" t="str">
        <v>U.S San Ignacio.</v>
      </c>
      <c r="I103">
        <v>2563</v>
      </c>
      <c r="J103">
        <v>354</v>
      </c>
      <c r="K103">
        <v>2563</v>
      </c>
      <c r="L103">
        <v>3325</v>
      </c>
      <c r="M103">
        <v>8805</v>
      </c>
    </row>
    <row r="104" spans="1:13" x14ac:dyDescent="0.25">
      <c r="A104" t="s">
        <v>16</v>
      </c>
      <c r="B104">
        <v>2563</v>
      </c>
      <c r="C104">
        <v>354</v>
      </c>
      <c r="D104">
        <v>2563</v>
      </c>
      <c r="E104">
        <v>3325</v>
      </c>
      <c r="F104">
        <v>8805</v>
      </c>
      <c r="H104" t="str">
        <v>U.S Buenos Aires</v>
      </c>
      <c r="I104">
        <v>3143</v>
      </c>
      <c r="J104">
        <v>321</v>
      </c>
      <c r="K104">
        <v>3143</v>
      </c>
      <c r="L104">
        <v>3514</v>
      </c>
      <c r="M104">
        <v>10121</v>
      </c>
    </row>
    <row r="105" spans="1:13" x14ac:dyDescent="0.25">
      <c r="A105" t="s">
        <v>17</v>
      </c>
      <c r="B105">
        <v>3143</v>
      </c>
      <c r="C105">
        <v>321</v>
      </c>
      <c r="D105">
        <v>3143</v>
      </c>
      <c r="E105">
        <v>3514</v>
      </c>
      <c r="F105">
        <v>10121</v>
      </c>
      <c r="H105" t="str">
        <v>Centro Rec Los Osos.</v>
      </c>
      <c r="I105">
        <v>2561</v>
      </c>
      <c r="J105">
        <v>321</v>
      </c>
      <c r="K105">
        <v>2561</v>
      </c>
      <c r="L105">
        <v>3548</v>
      </c>
      <c r="M105">
        <v>8991</v>
      </c>
    </row>
    <row r="106" spans="1:13" x14ac:dyDescent="0.25">
      <c r="A106" t="s">
        <v>18</v>
      </c>
      <c r="B106">
        <v>2561</v>
      </c>
      <c r="C106">
        <v>321</v>
      </c>
      <c r="D106">
        <v>2561</v>
      </c>
      <c r="E106">
        <v>3548</v>
      </c>
      <c r="F106">
        <v>8991</v>
      </c>
      <c r="H106" t="str">
        <v>Centro Rec. Las Ballenas</v>
      </c>
      <c r="I106">
        <v>3514</v>
      </c>
      <c r="J106">
        <v>321</v>
      </c>
      <c r="K106">
        <v>3514</v>
      </c>
      <c r="L106">
        <v>3589</v>
      </c>
      <c r="M106">
        <v>10938</v>
      </c>
    </row>
    <row r="107" spans="1:13" x14ac:dyDescent="0.25">
      <c r="A107" t="s">
        <v>19</v>
      </c>
      <c r="B107">
        <v>3514</v>
      </c>
      <c r="C107">
        <v>321</v>
      </c>
      <c r="D107">
        <v>3514</v>
      </c>
      <c r="E107">
        <v>3589</v>
      </c>
      <c r="F107">
        <v>10938</v>
      </c>
      <c r="H107" t="str">
        <v>Centro Rec Los Grillos.</v>
      </c>
      <c r="I107">
        <v>3654</v>
      </c>
      <c r="J107">
        <v>315</v>
      </c>
      <c r="K107">
        <v>3654</v>
      </c>
      <c r="L107">
        <v>3654</v>
      </c>
      <c r="M107">
        <v>11277</v>
      </c>
    </row>
    <row r="108" spans="1:13" x14ac:dyDescent="0.25">
      <c r="A108" t="s">
        <v>20</v>
      </c>
      <c r="B108">
        <v>3654</v>
      </c>
      <c r="C108">
        <v>315</v>
      </c>
      <c r="D108">
        <v>3654</v>
      </c>
      <c r="E108">
        <v>3654</v>
      </c>
      <c r="F108">
        <v>11277</v>
      </c>
      <c r="H108" t="str">
        <v>U.S Aranjuez</v>
      </c>
      <c r="I108">
        <v>1500</v>
      </c>
      <c r="J108">
        <v>3566</v>
      </c>
      <c r="K108">
        <v>3562</v>
      </c>
      <c r="L108">
        <v>3562</v>
      </c>
      <c r="M108">
        <v>12190</v>
      </c>
    </row>
    <row r="109" spans="1:13" x14ac:dyDescent="0.25">
      <c r="A109" t="s">
        <v>6</v>
      </c>
      <c r="B109">
        <v>1500</v>
      </c>
      <c r="C109">
        <v>3566</v>
      </c>
      <c r="D109">
        <v>3562</v>
      </c>
      <c r="E109">
        <v>3562</v>
      </c>
      <c r="F109">
        <v>12190</v>
      </c>
      <c r="H109" t="str">
        <v>U.S Manrique</v>
      </c>
      <c r="I109">
        <v>2000</v>
      </c>
      <c r="J109">
        <v>315</v>
      </c>
      <c r="K109">
        <v>3210</v>
      </c>
      <c r="L109">
        <v>3210</v>
      </c>
      <c r="M109">
        <v>8735</v>
      </c>
    </row>
    <row r="110" spans="1:13" x14ac:dyDescent="0.25">
      <c r="A110" t="s">
        <v>7</v>
      </c>
      <c r="B110">
        <v>2000</v>
      </c>
      <c r="C110">
        <v>315</v>
      </c>
      <c r="D110">
        <v>3210</v>
      </c>
      <c r="E110">
        <v>3210</v>
      </c>
      <c r="F110">
        <v>8735</v>
      </c>
      <c r="H110" t="str">
        <v>U.S Caldas</v>
      </c>
      <c r="I110">
        <v>1400</v>
      </c>
      <c r="J110">
        <v>2665</v>
      </c>
      <c r="K110">
        <v>1245</v>
      </c>
      <c r="L110">
        <v>1245</v>
      </c>
      <c r="M110">
        <v>6555</v>
      </c>
    </row>
    <row r="111" spans="1:13" x14ac:dyDescent="0.25">
      <c r="A111" t="s">
        <v>8</v>
      </c>
      <c r="B111">
        <v>1400</v>
      </c>
      <c r="C111">
        <v>2665</v>
      </c>
      <c r="D111">
        <v>1245</v>
      </c>
      <c r="E111">
        <v>1245</v>
      </c>
      <c r="F111">
        <v>6555</v>
      </c>
      <c r="H111" t="str">
        <v>U.S Itagui</v>
      </c>
      <c r="I111">
        <v>1580</v>
      </c>
      <c r="J111">
        <v>2510</v>
      </c>
      <c r="K111">
        <v>321</v>
      </c>
      <c r="L111">
        <v>321</v>
      </c>
      <c r="M111">
        <v>4732</v>
      </c>
    </row>
    <row r="112" spans="1:13" x14ac:dyDescent="0.25">
      <c r="A112" t="s">
        <v>9</v>
      </c>
      <c r="B112">
        <v>1580</v>
      </c>
      <c r="C112">
        <v>2510</v>
      </c>
      <c r="D112">
        <v>321</v>
      </c>
      <c r="E112">
        <v>321</v>
      </c>
      <c r="F112">
        <v>4732</v>
      </c>
      <c r="H112" t="str">
        <v>U.S Puerto Berrio</v>
      </c>
      <c r="I112">
        <v>1540</v>
      </c>
      <c r="J112">
        <v>3562</v>
      </c>
      <c r="K112">
        <v>321</v>
      </c>
      <c r="L112">
        <v>321</v>
      </c>
      <c r="M112">
        <v>5744</v>
      </c>
    </row>
    <row r="113" spans="1:13" x14ac:dyDescent="0.25">
      <c r="A113" t="s">
        <v>10</v>
      </c>
      <c r="B113">
        <v>1540</v>
      </c>
      <c r="C113">
        <v>3562</v>
      </c>
      <c r="D113">
        <v>321</v>
      </c>
      <c r="E113">
        <v>321</v>
      </c>
      <c r="F113">
        <v>5744</v>
      </c>
      <c r="H113" t="str">
        <v>U.S Girardota</v>
      </c>
      <c r="I113">
        <v>15620</v>
      </c>
      <c r="J113">
        <v>3210</v>
      </c>
      <c r="K113">
        <v>354</v>
      </c>
      <c r="L113">
        <v>354</v>
      </c>
      <c r="M113">
        <v>19538</v>
      </c>
    </row>
    <row r="114" spans="1:13" x14ac:dyDescent="0.25">
      <c r="A114" t="s">
        <v>11</v>
      </c>
      <c r="B114">
        <v>15620</v>
      </c>
      <c r="C114">
        <v>3210</v>
      </c>
      <c r="D114">
        <v>354</v>
      </c>
      <c r="E114">
        <v>354</v>
      </c>
      <c r="F114">
        <v>19538</v>
      </c>
      <c r="H114" t="str">
        <v>U.S Cristo Rey</v>
      </c>
      <c r="I114">
        <v>450</v>
      </c>
      <c r="J114">
        <v>1245</v>
      </c>
      <c r="K114">
        <v>321</v>
      </c>
      <c r="L114">
        <v>321</v>
      </c>
      <c r="M114">
        <v>2337</v>
      </c>
    </row>
    <row r="115" spans="1:13" x14ac:dyDescent="0.25">
      <c r="A115" t="s">
        <v>12</v>
      </c>
      <c r="B115">
        <v>450</v>
      </c>
      <c r="C115">
        <v>1245</v>
      </c>
      <c r="D115">
        <v>321</v>
      </c>
      <c r="E115">
        <v>321</v>
      </c>
      <c r="F115">
        <v>2337</v>
      </c>
      <c r="H115" t="str">
        <v>U.S Bello</v>
      </c>
      <c r="I115">
        <v>981</v>
      </c>
      <c r="J115">
        <v>321</v>
      </c>
      <c r="K115">
        <v>1580</v>
      </c>
      <c r="L115">
        <v>3654</v>
      </c>
      <c r="M115">
        <v>6536</v>
      </c>
    </row>
    <row r="116" spans="1:13" x14ac:dyDescent="0.25">
      <c r="A116" t="s">
        <v>13</v>
      </c>
      <c r="B116">
        <v>981</v>
      </c>
      <c r="C116">
        <v>321</v>
      </c>
      <c r="D116">
        <v>1580</v>
      </c>
      <c r="E116">
        <v>3654</v>
      </c>
      <c r="F116">
        <v>6536</v>
      </c>
      <c r="H116" t="str">
        <v>U.S Envigado</v>
      </c>
      <c r="I116">
        <v>541</v>
      </c>
      <c r="J116">
        <v>321</v>
      </c>
      <c r="K116">
        <v>1540</v>
      </c>
      <c r="L116">
        <v>123</v>
      </c>
      <c r="M116">
        <v>2525</v>
      </c>
    </row>
    <row r="117" spans="1:13" x14ac:dyDescent="0.25">
      <c r="A117" t="s">
        <v>14</v>
      </c>
      <c r="B117">
        <v>541</v>
      </c>
      <c r="C117">
        <v>321</v>
      </c>
      <c r="D117">
        <v>1540</v>
      </c>
      <c r="E117">
        <v>123</v>
      </c>
      <c r="F117">
        <v>2525</v>
      </c>
      <c r="H117" t="str">
        <v>U.S. La Ceja</v>
      </c>
      <c r="I117">
        <v>562</v>
      </c>
      <c r="J117">
        <v>354</v>
      </c>
      <c r="K117">
        <v>15620</v>
      </c>
      <c r="L117">
        <v>3056</v>
      </c>
      <c r="M117">
        <v>19592</v>
      </c>
    </row>
    <row r="118" spans="1:13" x14ac:dyDescent="0.25">
      <c r="A118" t="s">
        <v>15</v>
      </c>
      <c r="B118">
        <v>562</v>
      </c>
      <c r="C118">
        <v>354</v>
      </c>
      <c r="D118">
        <v>15620</v>
      </c>
      <c r="E118">
        <v>3056</v>
      </c>
      <c r="F118">
        <v>19592</v>
      </c>
      <c r="H118" t="str">
        <v>U.S San Ignacio.</v>
      </c>
      <c r="I118">
        <v>665</v>
      </c>
      <c r="J118">
        <v>321</v>
      </c>
      <c r="K118">
        <v>450</v>
      </c>
      <c r="L118">
        <v>562</v>
      </c>
      <c r="M118">
        <v>1998</v>
      </c>
    </row>
    <row r="119" spans="1:13" x14ac:dyDescent="0.25">
      <c r="A119" t="s">
        <v>16</v>
      </c>
      <c r="B119">
        <v>665</v>
      </c>
      <c r="C119">
        <v>321</v>
      </c>
      <c r="D119">
        <v>450</v>
      </c>
      <c r="E119">
        <v>562</v>
      </c>
      <c r="F119">
        <v>1998</v>
      </c>
      <c r="H119" t="str">
        <v>U.S Buenos Aires</v>
      </c>
      <c r="I119">
        <v>2698</v>
      </c>
      <c r="J119">
        <v>3654</v>
      </c>
      <c r="K119">
        <v>3566</v>
      </c>
      <c r="L119">
        <v>665</v>
      </c>
      <c r="M119">
        <v>10583</v>
      </c>
    </row>
    <row r="120" spans="1:13" x14ac:dyDescent="0.25">
      <c r="A120" t="s">
        <v>17</v>
      </c>
      <c r="B120">
        <v>2698</v>
      </c>
      <c r="C120">
        <v>3654</v>
      </c>
      <c r="D120">
        <v>3566</v>
      </c>
      <c r="E120">
        <v>665</v>
      </c>
      <c r="F120">
        <v>10583</v>
      </c>
      <c r="H120" t="str">
        <v>Centro Rec Los Osos.</v>
      </c>
      <c r="I120">
        <v>16412</v>
      </c>
      <c r="J120">
        <v>123</v>
      </c>
      <c r="K120">
        <v>315</v>
      </c>
      <c r="L120">
        <v>2698</v>
      </c>
      <c r="M120">
        <v>19548</v>
      </c>
    </row>
    <row r="121" spans="1:13" x14ac:dyDescent="0.25">
      <c r="A121" t="s">
        <v>18</v>
      </c>
      <c r="B121">
        <v>16412</v>
      </c>
      <c r="C121">
        <v>123</v>
      </c>
      <c r="D121">
        <v>315</v>
      </c>
      <c r="E121">
        <v>2698</v>
      </c>
      <c r="F121">
        <v>19548</v>
      </c>
      <c r="H121" t="str">
        <v>Centro Rec. Las Ballenas</v>
      </c>
      <c r="I121">
        <v>25000</v>
      </c>
      <c r="J121">
        <v>3056</v>
      </c>
      <c r="K121">
        <v>2665</v>
      </c>
      <c r="L121">
        <v>16412</v>
      </c>
      <c r="M121">
        <v>47133</v>
      </c>
    </row>
    <row r="122" spans="1:13" x14ac:dyDescent="0.25">
      <c r="A122" t="s">
        <v>19</v>
      </c>
      <c r="B122">
        <v>25000</v>
      </c>
      <c r="C122">
        <v>3056</v>
      </c>
      <c r="D122">
        <v>2665</v>
      </c>
      <c r="E122">
        <v>16412</v>
      </c>
      <c r="F122">
        <v>47133</v>
      </c>
      <c r="H122" t="str">
        <v>Centro Rec Los Grillos.</v>
      </c>
      <c r="I122">
        <v>35222</v>
      </c>
      <c r="J122">
        <v>368</v>
      </c>
      <c r="K122">
        <v>2510</v>
      </c>
      <c r="L122">
        <v>25000</v>
      </c>
      <c r="M122">
        <v>63100</v>
      </c>
    </row>
    <row r="123" spans="1:13" x14ac:dyDescent="0.25">
      <c r="A123" t="s">
        <v>20</v>
      </c>
      <c r="B123">
        <v>35222</v>
      </c>
      <c r="C123">
        <v>368</v>
      </c>
      <c r="D123">
        <v>2510</v>
      </c>
      <c r="E123">
        <v>25000</v>
      </c>
      <c r="F123">
        <v>63100</v>
      </c>
      <c r="H123" t="str">
        <v>U.S Aranjuez</v>
      </c>
      <c r="I123">
        <v>1500</v>
      </c>
      <c r="J123">
        <v>3566</v>
      </c>
      <c r="K123">
        <v>1970</v>
      </c>
      <c r="L123">
        <v>3562</v>
      </c>
      <c r="M123">
        <v>10598</v>
      </c>
    </row>
    <row r="124" spans="1:13" x14ac:dyDescent="0.25">
      <c r="A124" t="s">
        <v>6</v>
      </c>
      <c r="B124">
        <v>1500</v>
      </c>
      <c r="C124">
        <v>3566</v>
      </c>
      <c r="D124">
        <v>1970</v>
      </c>
      <c r="E124">
        <v>3562</v>
      </c>
      <c r="F124">
        <v>10598</v>
      </c>
      <c r="H124" t="str">
        <v>U.S Manrique</v>
      </c>
      <c r="I124">
        <v>2000</v>
      </c>
      <c r="J124">
        <v>315</v>
      </c>
      <c r="K124">
        <v>718</v>
      </c>
      <c r="L124">
        <v>3210</v>
      </c>
      <c r="M124">
        <v>6243</v>
      </c>
    </row>
    <row r="125" spans="1:13" x14ac:dyDescent="0.25">
      <c r="A125" t="s">
        <v>7</v>
      </c>
      <c r="B125">
        <v>2000</v>
      </c>
      <c r="C125">
        <v>315</v>
      </c>
      <c r="D125">
        <v>718</v>
      </c>
      <c r="E125">
        <v>3210</v>
      </c>
      <c r="F125">
        <v>6243</v>
      </c>
      <c r="H125" t="str">
        <v>U.S Caldas</v>
      </c>
      <c r="I125">
        <v>1400</v>
      </c>
      <c r="J125">
        <v>2665</v>
      </c>
      <c r="K125">
        <v>1979</v>
      </c>
      <c r="L125">
        <v>1245</v>
      </c>
      <c r="M125">
        <v>7289</v>
      </c>
    </row>
    <row r="126" spans="1:13" x14ac:dyDescent="0.25">
      <c r="A126" t="s">
        <v>8</v>
      </c>
      <c r="B126">
        <v>1400</v>
      </c>
      <c r="C126">
        <v>2665</v>
      </c>
      <c r="D126">
        <v>1979</v>
      </c>
      <c r="E126">
        <v>1245</v>
      </c>
      <c r="F126">
        <v>7289</v>
      </c>
      <c r="H126" t="str">
        <v>U.S Itagui</v>
      </c>
      <c r="I126">
        <v>1580</v>
      </c>
      <c r="J126">
        <v>2510</v>
      </c>
      <c r="K126">
        <v>179</v>
      </c>
      <c r="L126">
        <v>321</v>
      </c>
      <c r="M126">
        <v>4590</v>
      </c>
    </row>
    <row r="127" spans="1:13" x14ac:dyDescent="0.25">
      <c r="A127" t="s">
        <v>9</v>
      </c>
      <c r="B127">
        <v>1580</v>
      </c>
      <c r="C127">
        <v>2510</v>
      </c>
      <c r="D127">
        <v>179</v>
      </c>
      <c r="E127">
        <v>321</v>
      </c>
      <c r="F127">
        <v>4590</v>
      </c>
      <c r="H127" t="str">
        <v>U.S Puerto Berrio</v>
      </c>
      <c r="I127">
        <v>1540</v>
      </c>
      <c r="J127">
        <v>3562</v>
      </c>
      <c r="K127">
        <v>276</v>
      </c>
      <c r="L127">
        <v>321</v>
      </c>
      <c r="M127">
        <v>5699</v>
      </c>
    </row>
    <row r="128" spans="1:13" x14ac:dyDescent="0.25">
      <c r="A128" t="s">
        <v>10</v>
      </c>
      <c r="B128">
        <v>1540</v>
      </c>
      <c r="C128">
        <v>3562</v>
      </c>
      <c r="D128">
        <v>276</v>
      </c>
      <c r="E128">
        <v>321</v>
      </c>
      <c r="F128">
        <v>5699</v>
      </c>
      <c r="H128" t="str">
        <v>U.S Girardota</v>
      </c>
      <c r="I128">
        <v>15620</v>
      </c>
      <c r="J128">
        <v>3210</v>
      </c>
      <c r="K128">
        <v>5790</v>
      </c>
      <c r="L128">
        <v>354</v>
      </c>
      <c r="M128">
        <v>24974</v>
      </c>
    </row>
    <row r="129" spans="1:13" x14ac:dyDescent="0.25">
      <c r="A129" t="s">
        <v>11</v>
      </c>
      <c r="B129">
        <v>15620</v>
      </c>
      <c r="C129">
        <v>3210</v>
      </c>
      <c r="D129">
        <v>5790</v>
      </c>
      <c r="E129">
        <v>354</v>
      </c>
      <c r="F129">
        <v>24974</v>
      </c>
      <c r="H129" t="str">
        <v>U.S Cristo Rey</v>
      </c>
      <c r="I129">
        <v>450</v>
      </c>
      <c r="J129">
        <v>1245</v>
      </c>
      <c r="K129">
        <v>179</v>
      </c>
      <c r="L129">
        <v>321</v>
      </c>
      <c r="M129">
        <v>2195</v>
      </c>
    </row>
    <row r="130" spans="1:13" x14ac:dyDescent="0.25">
      <c r="A130" t="s">
        <v>12</v>
      </c>
      <c r="B130">
        <v>450</v>
      </c>
      <c r="C130">
        <v>1245</v>
      </c>
      <c r="D130">
        <v>179</v>
      </c>
      <c r="E130">
        <v>321</v>
      </c>
      <c r="F130">
        <v>2195</v>
      </c>
      <c r="H130" t="str">
        <v>U.S Bello</v>
      </c>
      <c r="I130">
        <v>981</v>
      </c>
      <c r="J130">
        <v>321</v>
      </c>
      <c r="K130">
        <v>1580</v>
      </c>
      <c r="L130">
        <v>3654</v>
      </c>
      <c r="M130">
        <v>6536</v>
      </c>
    </row>
    <row r="131" spans="1:13" x14ac:dyDescent="0.25">
      <c r="A131" t="s">
        <v>13</v>
      </c>
      <c r="B131">
        <v>981</v>
      </c>
      <c r="C131">
        <v>321</v>
      </c>
      <c r="D131">
        <v>1580</v>
      </c>
      <c r="E131">
        <v>3654</v>
      </c>
      <c r="F131">
        <v>6536</v>
      </c>
      <c r="H131" t="str">
        <v>U.S Envigado</v>
      </c>
      <c r="I131">
        <v>541</v>
      </c>
      <c r="J131">
        <v>321</v>
      </c>
      <c r="K131">
        <v>1540</v>
      </c>
      <c r="L131">
        <v>123</v>
      </c>
      <c r="M131">
        <v>2525</v>
      </c>
    </row>
    <row r="132" spans="1:13" x14ac:dyDescent="0.25">
      <c r="A132" t="s">
        <v>14</v>
      </c>
      <c r="B132">
        <v>541</v>
      </c>
      <c r="C132">
        <v>321</v>
      </c>
      <c r="D132">
        <v>1540</v>
      </c>
      <c r="E132">
        <v>123</v>
      </c>
      <c r="F132">
        <v>2525</v>
      </c>
      <c r="H132" t="str">
        <v>U.S. La Ceja</v>
      </c>
      <c r="I132">
        <v>562</v>
      </c>
      <c r="J132">
        <v>354</v>
      </c>
      <c r="K132">
        <v>15620</v>
      </c>
      <c r="L132">
        <v>3056</v>
      </c>
      <c r="M132">
        <v>19592</v>
      </c>
    </row>
    <row r="133" spans="1:13" x14ac:dyDescent="0.25">
      <c r="A133" t="s">
        <v>15</v>
      </c>
      <c r="B133">
        <v>562</v>
      </c>
      <c r="C133">
        <v>354</v>
      </c>
      <c r="D133">
        <v>15620</v>
      </c>
      <c r="E133">
        <v>3056</v>
      </c>
      <c r="F133">
        <v>19592</v>
      </c>
      <c r="H133" t="str">
        <v>U.S San Ignacio.</v>
      </c>
      <c r="I133">
        <v>665</v>
      </c>
      <c r="J133">
        <v>321</v>
      </c>
      <c r="K133">
        <v>450</v>
      </c>
      <c r="L133">
        <v>562</v>
      </c>
      <c r="M133">
        <v>1998</v>
      </c>
    </row>
    <row r="134" spans="1:13" x14ac:dyDescent="0.25">
      <c r="A134" t="s">
        <v>16</v>
      </c>
      <c r="B134">
        <v>665</v>
      </c>
      <c r="C134">
        <v>321</v>
      </c>
      <c r="D134">
        <v>450</v>
      </c>
      <c r="E134">
        <v>562</v>
      </c>
      <c r="F134">
        <v>1998</v>
      </c>
      <c r="H134" t="str">
        <v>U.S Buenos Aires</v>
      </c>
      <c r="I134">
        <v>2698</v>
      </c>
      <c r="J134">
        <v>3654</v>
      </c>
      <c r="K134">
        <v>3566</v>
      </c>
      <c r="L134">
        <v>665</v>
      </c>
      <c r="M134">
        <v>10583</v>
      </c>
    </row>
    <row r="135" spans="1:13" x14ac:dyDescent="0.25">
      <c r="A135" t="s">
        <v>17</v>
      </c>
      <c r="B135">
        <v>2698</v>
      </c>
      <c r="C135">
        <v>3654</v>
      </c>
      <c r="D135">
        <v>3566</v>
      </c>
      <c r="E135">
        <v>665</v>
      </c>
      <c r="F135">
        <v>10583</v>
      </c>
      <c r="H135" t="str">
        <v>Centro Rec Los Osos.</v>
      </c>
      <c r="I135">
        <v>16412</v>
      </c>
      <c r="J135">
        <v>123</v>
      </c>
      <c r="K135">
        <v>315</v>
      </c>
      <c r="L135">
        <v>2698</v>
      </c>
      <c r="M135">
        <v>19548</v>
      </c>
    </row>
    <row r="136" spans="1:13" x14ac:dyDescent="0.25">
      <c r="A136" t="s">
        <v>18</v>
      </c>
      <c r="B136">
        <v>16412</v>
      </c>
      <c r="C136">
        <v>123</v>
      </c>
      <c r="D136">
        <v>315</v>
      </c>
      <c r="E136">
        <v>2698</v>
      </c>
      <c r="F136">
        <v>19548</v>
      </c>
      <c r="H136" t="str">
        <v>Centro Rec. Las Ballenas</v>
      </c>
      <c r="I136">
        <v>25000</v>
      </c>
      <c r="J136">
        <v>3056</v>
      </c>
      <c r="K136">
        <v>2665</v>
      </c>
      <c r="L136">
        <v>16412</v>
      </c>
      <c r="M136">
        <v>47133</v>
      </c>
    </row>
    <row r="137" spans="1:13" x14ac:dyDescent="0.25">
      <c r="A137" t="s">
        <v>19</v>
      </c>
      <c r="B137">
        <v>25000</v>
      </c>
      <c r="C137">
        <v>3056</v>
      </c>
      <c r="D137">
        <v>2665</v>
      </c>
      <c r="E137">
        <v>16412</v>
      </c>
      <c r="F137">
        <v>47133</v>
      </c>
      <c r="H137" t="str">
        <v>Centro Rec Los Grillos.</v>
      </c>
      <c r="I137">
        <v>35222</v>
      </c>
      <c r="J137">
        <v>368</v>
      </c>
      <c r="K137">
        <v>2510</v>
      </c>
      <c r="L137">
        <v>25000</v>
      </c>
      <c r="M137">
        <v>63100</v>
      </c>
    </row>
    <row r="138" spans="1:13" x14ac:dyDescent="0.25">
      <c r="A138" t="s">
        <v>20</v>
      </c>
      <c r="B138">
        <v>35222</v>
      </c>
      <c r="C138">
        <v>368</v>
      </c>
      <c r="D138">
        <v>2510</v>
      </c>
      <c r="E138">
        <v>25000</v>
      </c>
      <c r="F138">
        <v>63100</v>
      </c>
      <c r="H138" t="str">
        <v>U.S Aranjuez</v>
      </c>
      <c r="I138">
        <v>1542</v>
      </c>
      <c r="J138">
        <v>2563</v>
      </c>
      <c r="K138">
        <v>3562</v>
      </c>
      <c r="L138">
        <v>321</v>
      </c>
      <c r="M138">
        <v>7988</v>
      </c>
    </row>
    <row r="139" spans="1:13" x14ac:dyDescent="0.25">
      <c r="A139" t="s">
        <v>6</v>
      </c>
      <c r="B139">
        <v>1542</v>
      </c>
      <c r="C139">
        <v>2563</v>
      </c>
      <c r="D139">
        <v>3562</v>
      </c>
      <c r="E139">
        <v>321</v>
      </c>
      <c r="F139">
        <v>7988</v>
      </c>
      <c r="H139" t="str">
        <v>U.S Manrique</v>
      </c>
      <c r="I139">
        <v>2541</v>
      </c>
      <c r="J139">
        <v>241</v>
      </c>
      <c r="K139">
        <v>3210</v>
      </c>
      <c r="L139">
        <v>354</v>
      </c>
      <c r="M139">
        <v>6346</v>
      </c>
    </row>
    <row r="140" spans="1:13" x14ac:dyDescent="0.25">
      <c r="A140" t="s">
        <v>7</v>
      </c>
      <c r="B140">
        <v>2541</v>
      </c>
      <c r="C140">
        <v>241</v>
      </c>
      <c r="D140">
        <v>3210</v>
      </c>
      <c r="E140">
        <v>354</v>
      </c>
      <c r="F140">
        <v>6346</v>
      </c>
      <c r="H140" t="str">
        <v>U.S Caldas</v>
      </c>
      <c r="I140">
        <v>3210</v>
      </c>
      <c r="J140">
        <v>3589</v>
      </c>
      <c r="K140">
        <v>1245</v>
      </c>
      <c r="L140">
        <v>450</v>
      </c>
      <c r="M140">
        <v>8494</v>
      </c>
    </row>
    <row r="141" spans="1:13" x14ac:dyDescent="0.25">
      <c r="A141" t="s">
        <v>8</v>
      </c>
      <c r="B141">
        <v>3210</v>
      </c>
      <c r="C141">
        <v>3589</v>
      </c>
      <c r="D141">
        <v>1245</v>
      </c>
      <c r="E141">
        <v>450</v>
      </c>
      <c r="F141">
        <v>8494</v>
      </c>
      <c r="H141" t="str">
        <v>U.S Itagui</v>
      </c>
      <c r="I141">
        <v>2100</v>
      </c>
      <c r="J141">
        <v>3241</v>
      </c>
      <c r="K141">
        <v>321</v>
      </c>
      <c r="L141">
        <v>1245</v>
      </c>
      <c r="M141">
        <v>6907</v>
      </c>
    </row>
    <row r="142" spans="1:13" x14ac:dyDescent="0.25">
      <c r="A142" t="s">
        <v>9</v>
      </c>
      <c r="B142">
        <v>2100</v>
      </c>
      <c r="C142">
        <v>3241</v>
      </c>
      <c r="D142">
        <v>321</v>
      </c>
      <c r="E142">
        <v>1245</v>
      </c>
      <c r="F142">
        <v>6907</v>
      </c>
      <c r="H142" t="str">
        <v>U.S Puerto Berrio</v>
      </c>
      <c r="I142">
        <v>2564</v>
      </c>
      <c r="J142">
        <v>3325</v>
      </c>
      <c r="K142">
        <v>321</v>
      </c>
      <c r="L142">
        <v>1540</v>
      </c>
      <c r="M142">
        <v>7750</v>
      </c>
    </row>
    <row r="143" spans="1:13" x14ac:dyDescent="0.25">
      <c r="A143" t="s">
        <v>10</v>
      </c>
      <c r="B143">
        <v>2564</v>
      </c>
      <c r="C143">
        <v>3325</v>
      </c>
      <c r="D143">
        <v>321</v>
      </c>
      <c r="E143">
        <v>1540</v>
      </c>
      <c r="F143">
        <v>7750</v>
      </c>
      <c r="H143" t="str">
        <v>U.S Girardota</v>
      </c>
      <c r="I143">
        <v>450</v>
      </c>
      <c r="J143">
        <v>210</v>
      </c>
      <c r="K143">
        <v>354</v>
      </c>
      <c r="L143">
        <v>1580</v>
      </c>
      <c r="M143">
        <v>2594</v>
      </c>
    </row>
    <row r="144" spans="1:13" x14ac:dyDescent="0.25">
      <c r="A144" t="s">
        <v>11</v>
      </c>
      <c r="B144">
        <v>450</v>
      </c>
      <c r="C144">
        <v>210</v>
      </c>
      <c r="D144">
        <v>354</v>
      </c>
      <c r="E144">
        <v>1580</v>
      </c>
      <c r="F144">
        <v>2594</v>
      </c>
      <c r="H144" t="str">
        <v>U.S Cristo Rey</v>
      </c>
      <c r="I144">
        <v>1245</v>
      </c>
      <c r="J144">
        <v>365</v>
      </c>
      <c r="K144">
        <v>321</v>
      </c>
      <c r="L144">
        <v>2510</v>
      </c>
      <c r="M144">
        <v>4441</v>
      </c>
    </row>
    <row r="145" spans="1:13" x14ac:dyDescent="0.25">
      <c r="A145" t="s">
        <v>12</v>
      </c>
      <c r="B145">
        <v>1245</v>
      </c>
      <c r="C145">
        <v>365</v>
      </c>
      <c r="D145">
        <v>321</v>
      </c>
      <c r="E145">
        <v>2510</v>
      </c>
      <c r="F145">
        <v>4441</v>
      </c>
      <c r="H145" t="str">
        <v>U.S Bello</v>
      </c>
      <c r="I145">
        <v>1540</v>
      </c>
      <c r="J145">
        <v>314</v>
      </c>
      <c r="K145">
        <v>3654</v>
      </c>
      <c r="L145">
        <v>2665</v>
      </c>
      <c r="M145">
        <v>8173</v>
      </c>
    </row>
    <row r="146" spans="1:13" x14ac:dyDescent="0.25">
      <c r="A146" t="s">
        <v>13</v>
      </c>
      <c r="B146">
        <v>1540</v>
      </c>
      <c r="C146">
        <v>314</v>
      </c>
      <c r="D146">
        <v>3654</v>
      </c>
      <c r="E146">
        <v>2665</v>
      </c>
      <c r="F146">
        <v>8173</v>
      </c>
      <c r="H146" t="str">
        <v>U.S Envigado</v>
      </c>
      <c r="I146">
        <v>1580</v>
      </c>
      <c r="J146">
        <v>256</v>
      </c>
      <c r="K146">
        <v>123</v>
      </c>
      <c r="L146">
        <v>256</v>
      </c>
      <c r="M146">
        <v>2215</v>
      </c>
    </row>
    <row r="147" spans="1:13" x14ac:dyDescent="0.25">
      <c r="A147" t="s">
        <v>14</v>
      </c>
      <c r="B147">
        <v>1580</v>
      </c>
      <c r="C147">
        <v>256</v>
      </c>
      <c r="D147">
        <v>123</v>
      </c>
      <c r="E147">
        <v>256</v>
      </c>
      <c r="F147">
        <v>2215</v>
      </c>
      <c r="H147" t="str">
        <v>U.S. La Ceja</v>
      </c>
      <c r="I147">
        <v>2510</v>
      </c>
      <c r="J147">
        <v>3548</v>
      </c>
      <c r="K147">
        <v>3056</v>
      </c>
      <c r="L147">
        <v>3548</v>
      </c>
      <c r="M147">
        <v>12662</v>
      </c>
    </row>
    <row r="148" spans="1:13" x14ac:dyDescent="0.25">
      <c r="A148" t="s">
        <v>15</v>
      </c>
      <c r="B148">
        <v>2510</v>
      </c>
      <c r="C148">
        <v>3548</v>
      </c>
      <c r="D148">
        <v>3056</v>
      </c>
      <c r="E148">
        <v>3548</v>
      </c>
      <c r="F148">
        <v>12662</v>
      </c>
      <c r="H148" t="str">
        <v>U.S San Ignacio.</v>
      </c>
      <c r="I148">
        <v>2665</v>
      </c>
      <c r="J148">
        <v>2563</v>
      </c>
      <c r="K148">
        <v>562</v>
      </c>
      <c r="L148">
        <v>2563</v>
      </c>
      <c r="M148">
        <v>8353</v>
      </c>
    </row>
    <row r="149" spans="1:13" x14ac:dyDescent="0.25">
      <c r="A149" t="s">
        <v>16</v>
      </c>
      <c r="B149">
        <v>2665</v>
      </c>
      <c r="C149">
        <v>2563</v>
      </c>
      <c r="D149">
        <v>562</v>
      </c>
      <c r="E149">
        <v>2563</v>
      </c>
      <c r="F149">
        <v>8353</v>
      </c>
      <c r="H149" t="str">
        <v>U.S Buenos Aires</v>
      </c>
      <c r="I149">
        <v>3210</v>
      </c>
      <c r="J149">
        <v>3143</v>
      </c>
      <c r="K149">
        <v>665</v>
      </c>
      <c r="L149">
        <v>3143</v>
      </c>
      <c r="M149">
        <v>10161</v>
      </c>
    </row>
    <row r="150" spans="1:13" x14ac:dyDescent="0.25">
      <c r="A150" t="s">
        <v>17</v>
      </c>
      <c r="B150">
        <v>3210</v>
      </c>
      <c r="C150">
        <v>3143</v>
      </c>
      <c r="D150">
        <v>665</v>
      </c>
      <c r="E150">
        <v>3143</v>
      </c>
      <c r="F150">
        <v>10161</v>
      </c>
      <c r="H150" t="str">
        <v>Centro Rec Los Osos.</v>
      </c>
      <c r="I150">
        <v>3562</v>
      </c>
      <c r="J150">
        <v>2561</v>
      </c>
      <c r="K150">
        <v>2698</v>
      </c>
      <c r="L150">
        <v>2561</v>
      </c>
      <c r="M150">
        <v>11382</v>
      </c>
    </row>
    <row r="151" spans="1:13" x14ac:dyDescent="0.25">
      <c r="A151" t="s">
        <v>18</v>
      </c>
      <c r="B151">
        <v>3562</v>
      </c>
      <c r="C151">
        <v>2561</v>
      </c>
      <c r="D151">
        <v>2698</v>
      </c>
      <c r="E151">
        <v>2561</v>
      </c>
      <c r="F151">
        <v>11382</v>
      </c>
      <c r="H151" t="str">
        <v>Centro Rec. Las Ballenas</v>
      </c>
      <c r="I151">
        <v>3566</v>
      </c>
      <c r="J151">
        <v>3514</v>
      </c>
      <c r="K151">
        <v>16412</v>
      </c>
      <c r="L151">
        <v>3514</v>
      </c>
      <c r="M151">
        <v>27006</v>
      </c>
    </row>
    <row r="152" spans="1:13" x14ac:dyDescent="0.25">
      <c r="A152" t="s">
        <v>19</v>
      </c>
      <c r="B152">
        <v>3566</v>
      </c>
      <c r="C152">
        <v>3514</v>
      </c>
      <c r="D152">
        <v>16412</v>
      </c>
      <c r="E152">
        <v>3514</v>
      </c>
      <c r="F152">
        <v>27006</v>
      </c>
      <c r="H152" t="str">
        <v>Centro Rec Los Grillos.</v>
      </c>
      <c r="I152">
        <v>15620</v>
      </c>
      <c r="J152">
        <v>3654</v>
      </c>
      <c r="K152">
        <v>25000</v>
      </c>
      <c r="L152">
        <v>3654</v>
      </c>
      <c r="M152">
        <v>47928</v>
      </c>
    </row>
    <row r="153" spans="1:13" x14ac:dyDescent="0.25">
      <c r="A153" t="s">
        <v>20</v>
      </c>
      <c r="B153">
        <v>15620</v>
      </c>
      <c r="C153">
        <v>3654</v>
      </c>
      <c r="D153">
        <v>25000</v>
      </c>
      <c r="E153">
        <v>3654</v>
      </c>
      <c r="F153">
        <v>47928</v>
      </c>
      <c r="H153" t="str">
        <v>U.S Aranjuez</v>
      </c>
      <c r="I153">
        <v>2563</v>
      </c>
      <c r="J153">
        <v>15620</v>
      </c>
      <c r="K153">
        <v>321</v>
      </c>
      <c r="L153">
        <v>2563</v>
      </c>
      <c r="M153">
        <v>21067</v>
      </c>
    </row>
    <row r="154" spans="1:13" x14ac:dyDescent="0.25">
      <c r="A154" t="s">
        <v>6</v>
      </c>
      <c r="B154">
        <v>2563</v>
      </c>
      <c r="C154">
        <v>15620</v>
      </c>
      <c r="D154">
        <v>321</v>
      </c>
      <c r="E154">
        <v>2563</v>
      </c>
      <c r="F154">
        <v>21067</v>
      </c>
      <c r="H154" t="str">
        <v>U.S Manrique</v>
      </c>
      <c r="I154">
        <v>241</v>
      </c>
      <c r="J154">
        <v>3566</v>
      </c>
      <c r="K154">
        <v>354</v>
      </c>
      <c r="L154">
        <v>210</v>
      </c>
      <c r="M154">
        <v>4371</v>
      </c>
    </row>
    <row r="155" spans="1:13" x14ac:dyDescent="0.25">
      <c r="A155" t="s">
        <v>7</v>
      </c>
      <c r="B155">
        <v>241</v>
      </c>
      <c r="C155">
        <v>3566</v>
      </c>
      <c r="D155">
        <v>354</v>
      </c>
      <c r="E155">
        <v>210</v>
      </c>
      <c r="F155">
        <v>4371</v>
      </c>
      <c r="H155" t="str">
        <v>U.S Caldas</v>
      </c>
      <c r="I155">
        <v>3589</v>
      </c>
      <c r="J155">
        <v>3562</v>
      </c>
      <c r="K155">
        <v>450</v>
      </c>
      <c r="L155">
        <v>241</v>
      </c>
      <c r="M155">
        <v>7842</v>
      </c>
    </row>
    <row r="156" spans="1:13" x14ac:dyDescent="0.25">
      <c r="A156" t="s">
        <v>8</v>
      </c>
      <c r="B156">
        <v>3589</v>
      </c>
      <c r="C156">
        <v>3562</v>
      </c>
      <c r="D156">
        <v>450</v>
      </c>
      <c r="E156">
        <v>241</v>
      </c>
      <c r="F156">
        <v>7842</v>
      </c>
      <c r="H156" t="str">
        <v>U.S Itagui</v>
      </c>
      <c r="I156">
        <v>3241</v>
      </c>
      <c r="J156">
        <v>3210</v>
      </c>
      <c r="K156">
        <v>1245</v>
      </c>
      <c r="L156">
        <v>256</v>
      </c>
      <c r="M156">
        <v>7952</v>
      </c>
    </row>
    <row r="157" spans="1:13" x14ac:dyDescent="0.25">
      <c r="A157" t="s">
        <v>9</v>
      </c>
      <c r="B157">
        <v>3241</v>
      </c>
      <c r="C157">
        <v>3210</v>
      </c>
      <c r="D157">
        <v>1245</v>
      </c>
      <c r="E157">
        <v>256</v>
      </c>
      <c r="F157">
        <v>7952</v>
      </c>
      <c r="H157" t="str">
        <v>U.S Puerto Berrio</v>
      </c>
      <c r="I157">
        <v>3325</v>
      </c>
      <c r="J157">
        <v>2665</v>
      </c>
      <c r="K157">
        <v>1540</v>
      </c>
      <c r="L157">
        <v>314</v>
      </c>
      <c r="M157">
        <v>7844</v>
      </c>
    </row>
    <row r="158" spans="1:13" x14ac:dyDescent="0.25">
      <c r="A158" t="s">
        <v>10</v>
      </c>
      <c r="B158">
        <v>3325</v>
      </c>
      <c r="C158">
        <v>2665</v>
      </c>
      <c r="D158">
        <v>1540</v>
      </c>
      <c r="E158">
        <v>314</v>
      </c>
      <c r="F158">
        <v>7844</v>
      </c>
      <c r="H158" t="str">
        <v>U.S Girardota</v>
      </c>
      <c r="I158">
        <v>210</v>
      </c>
      <c r="J158">
        <v>2510</v>
      </c>
      <c r="K158">
        <v>1580</v>
      </c>
      <c r="L158">
        <v>365</v>
      </c>
      <c r="M158">
        <v>4665</v>
      </c>
    </row>
    <row r="159" spans="1:13" x14ac:dyDescent="0.25">
      <c r="A159" t="s">
        <v>11</v>
      </c>
      <c r="B159">
        <v>210</v>
      </c>
      <c r="C159">
        <v>2510</v>
      </c>
      <c r="D159">
        <v>1580</v>
      </c>
      <c r="E159">
        <v>365</v>
      </c>
      <c r="F159">
        <v>4665</v>
      </c>
      <c r="H159" t="str">
        <v>U.S Cristo Rey</v>
      </c>
      <c r="I159">
        <v>365</v>
      </c>
      <c r="J159">
        <v>1580</v>
      </c>
      <c r="K159">
        <v>2510</v>
      </c>
      <c r="L159">
        <v>2561</v>
      </c>
      <c r="M159">
        <v>7016</v>
      </c>
    </row>
    <row r="160" spans="1:13" x14ac:dyDescent="0.25">
      <c r="A160" t="s">
        <v>12</v>
      </c>
      <c r="B160">
        <v>365</v>
      </c>
      <c r="C160">
        <v>1580</v>
      </c>
      <c r="D160">
        <v>2510</v>
      </c>
      <c r="E160">
        <v>2561</v>
      </c>
      <c r="F160">
        <v>7016</v>
      </c>
      <c r="H160" t="str">
        <v>U.S Bello</v>
      </c>
      <c r="I160">
        <v>314</v>
      </c>
      <c r="J160">
        <v>1540</v>
      </c>
      <c r="K160">
        <v>2665</v>
      </c>
      <c r="L160">
        <v>2563</v>
      </c>
      <c r="M160">
        <v>7082</v>
      </c>
    </row>
    <row r="161" spans="1:13" x14ac:dyDescent="0.25">
      <c r="A161" t="s">
        <v>13</v>
      </c>
      <c r="B161">
        <v>314</v>
      </c>
      <c r="C161">
        <v>1540</v>
      </c>
      <c r="D161">
        <v>2665</v>
      </c>
      <c r="E161">
        <v>2563</v>
      </c>
      <c r="F161">
        <v>7082</v>
      </c>
      <c r="H161" t="str">
        <v>U.S Envigado</v>
      </c>
      <c r="I161">
        <v>256</v>
      </c>
      <c r="J161">
        <v>1245</v>
      </c>
      <c r="K161">
        <v>256</v>
      </c>
      <c r="L161">
        <v>3143</v>
      </c>
      <c r="M161">
        <v>4900</v>
      </c>
    </row>
    <row r="162" spans="1:13" x14ac:dyDescent="0.25">
      <c r="A162" t="s">
        <v>14</v>
      </c>
      <c r="B162">
        <v>256</v>
      </c>
      <c r="C162">
        <v>1245</v>
      </c>
      <c r="D162">
        <v>256</v>
      </c>
      <c r="E162">
        <v>3143</v>
      </c>
      <c r="F162">
        <v>4900</v>
      </c>
      <c r="H162" t="str">
        <v>U.S. La Ceja</v>
      </c>
      <c r="I162">
        <v>3548</v>
      </c>
      <c r="J162">
        <v>450</v>
      </c>
      <c r="K162">
        <v>3548</v>
      </c>
      <c r="L162">
        <v>3241</v>
      </c>
      <c r="M162">
        <v>10787</v>
      </c>
    </row>
    <row r="163" spans="1:13" x14ac:dyDescent="0.25">
      <c r="A163" t="s">
        <v>15</v>
      </c>
      <c r="B163">
        <v>3548</v>
      </c>
      <c r="C163">
        <v>450</v>
      </c>
      <c r="D163">
        <v>3548</v>
      </c>
      <c r="E163">
        <v>3241</v>
      </c>
      <c r="F163">
        <v>10787</v>
      </c>
      <c r="H163" t="str">
        <v>U.S San Ignacio.</v>
      </c>
      <c r="I163">
        <v>2563</v>
      </c>
      <c r="J163">
        <v>354</v>
      </c>
      <c r="K163">
        <v>2563</v>
      </c>
      <c r="L163">
        <v>3325</v>
      </c>
      <c r="M163">
        <v>8805</v>
      </c>
    </row>
    <row r="164" spans="1:13" x14ac:dyDescent="0.25">
      <c r="A164" t="s">
        <v>16</v>
      </c>
      <c r="B164">
        <v>2563</v>
      </c>
      <c r="C164">
        <v>354</v>
      </c>
      <c r="D164">
        <v>2563</v>
      </c>
      <c r="E164">
        <v>3325</v>
      </c>
      <c r="F164">
        <v>8805</v>
      </c>
      <c r="H164" t="str">
        <v>U.S Buenos Aires</v>
      </c>
      <c r="I164">
        <v>3143</v>
      </c>
      <c r="J164">
        <v>321</v>
      </c>
      <c r="K164">
        <v>3143</v>
      </c>
      <c r="L164">
        <v>3514</v>
      </c>
      <c r="M164">
        <v>10121</v>
      </c>
    </row>
    <row r="165" spans="1:13" x14ac:dyDescent="0.25">
      <c r="A165" t="s">
        <v>17</v>
      </c>
      <c r="B165">
        <v>3143</v>
      </c>
      <c r="C165">
        <v>321</v>
      </c>
      <c r="D165">
        <v>3143</v>
      </c>
      <c r="E165">
        <v>3514</v>
      </c>
      <c r="F165">
        <v>10121</v>
      </c>
      <c r="H165" t="str">
        <v>Centro Rec Los Osos.</v>
      </c>
      <c r="I165">
        <v>2561</v>
      </c>
      <c r="J165">
        <v>321</v>
      </c>
      <c r="K165">
        <v>2561</v>
      </c>
      <c r="L165">
        <v>3548</v>
      </c>
      <c r="M165">
        <v>8991</v>
      </c>
    </row>
    <row r="166" spans="1:13" x14ac:dyDescent="0.25">
      <c r="A166" t="s">
        <v>18</v>
      </c>
      <c r="B166">
        <v>2561</v>
      </c>
      <c r="C166">
        <v>321</v>
      </c>
      <c r="D166">
        <v>2561</v>
      </c>
      <c r="E166">
        <v>3548</v>
      </c>
      <c r="F166">
        <v>8991</v>
      </c>
      <c r="H166" t="str">
        <v>Centro Rec. Las Ballenas</v>
      </c>
      <c r="I166">
        <v>3514</v>
      </c>
      <c r="J166">
        <v>321</v>
      </c>
      <c r="K166">
        <v>3514</v>
      </c>
      <c r="L166">
        <v>3589</v>
      </c>
      <c r="M166">
        <v>10938</v>
      </c>
    </row>
    <row r="167" spans="1:13" x14ac:dyDescent="0.25">
      <c r="A167" t="s">
        <v>19</v>
      </c>
      <c r="B167">
        <v>3514</v>
      </c>
      <c r="C167">
        <v>321</v>
      </c>
      <c r="D167">
        <v>3514</v>
      </c>
      <c r="E167">
        <v>3589</v>
      </c>
      <c r="F167">
        <v>10938</v>
      </c>
      <c r="H167" t="str">
        <v>Centro Rec Los Grillos.</v>
      </c>
      <c r="I167">
        <v>3654</v>
      </c>
      <c r="J167">
        <v>315</v>
      </c>
      <c r="K167">
        <v>3654</v>
      </c>
      <c r="L167">
        <v>3654</v>
      </c>
      <c r="M167">
        <v>11277</v>
      </c>
    </row>
    <row r="168" spans="1:13" x14ac:dyDescent="0.25">
      <c r="A168" t="s">
        <v>20</v>
      </c>
      <c r="B168">
        <v>3654</v>
      </c>
      <c r="C168">
        <v>315</v>
      </c>
      <c r="D168">
        <v>3654</v>
      </c>
      <c r="E168">
        <v>3654</v>
      </c>
      <c r="F168">
        <v>11277</v>
      </c>
      <c r="H168" t="str">
        <v>U.S Aranjuez</v>
      </c>
      <c r="I168">
        <v>1500</v>
      </c>
      <c r="J168">
        <v>3566</v>
      </c>
      <c r="K168">
        <v>3562</v>
      </c>
      <c r="L168">
        <v>3562</v>
      </c>
      <c r="M168">
        <v>12190</v>
      </c>
    </row>
    <row r="169" spans="1:13" x14ac:dyDescent="0.25">
      <c r="A169" t="s">
        <v>6</v>
      </c>
      <c r="B169">
        <v>1500</v>
      </c>
      <c r="C169">
        <v>3566</v>
      </c>
      <c r="D169">
        <v>3562</v>
      </c>
      <c r="E169">
        <v>3562</v>
      </c>
      <c r="F169">
        <v>12190</v>
      </c>
      <c r="H169" t="str">
        <v>U.S Manrique</v>
      </c>
      <c r="I169">
        <v>2000</v>
      </c>
      <c r="J169">
        <v>315</v>
      </c>
      <c r="K169">
        <v>3210</v>
      </c>
      <c r="L169">
        <v>3210</v>
      </c>
      <c r="M169">
        <v>8735</v>
      </c>
    </row>
    <row r="170" spans="1:13" x14ac:dyDescent="0.25">
      <c r="A170" t="s">
        <v>7</v>
      </c>
      <c r="B170">
        <v>2000</v>
      </c>
      <c r="C170">
        <v>315</v>
      </c>
      <c r="D170">
        <v>3210</v>
      </c>
      <c r="E170">
        <v>3210</v>
      </c>
      <c r="F170">
        <v>8735</v>
      </c>
      <c r="H170" t="str">
        <v>U.S Caldas</v>
      </c>
      <c r="I170">
        <v>1400</v>
      </c>
      <c r="J170">
        <v>2665</v>
      </c>
      <c r="K170">
        <v>1245</v>
      </c>
      <c r="L170">
        <v>1245</v>
      </c>
      <c r="M170">
        <v>6555</v>
      </c>
    </row>
    <row r="171" spans="1:13" x14ac:dyDescent="0.25">
      <c r="A171" t="s">
        <v>8</v>
      </c>
      <c r="B171">
        <v>1400</v>
      </c>
      <c r="C171">
        <v>2665</v>
      </c>
      <c r="D171">
        <v>1245</v>
      </c>
      <c r="E171">
        <v>1245</v>
      </c>
      <c r="F171">
        <v>6555</v>
      </c>
      <c r="H171" t="str">
        <v>U.S Itagui</v>
      </c>
      <c r="I171">
        <v>1580</v>
      </c>
      <c r="J171">
        <v>2510</v>
      </c>
      <c r="K171">
        <v>321</v>
      </c>
      <c r="L171">
        <v>321</v>
      </c>
      <c r="M171">
        <v>4732</v>
      </c>
    </row>
    <row r="172" spans="1:13" x14ac:dyDescent="0.25">
      <c r="A172" t="s">
        <v>9</v>
      </c>
      <c r="B172">
        <v>1580</v>
      </c>
      <c r="C172">
        <v>2510</v>
      </c>
      <c r="D172">
        <v>321</v>
      </c>
      <c r="E172">
        <v>321</v>
      </c>
      <c r="F172">
        <v>4732</v>
      </c>
      <c r="H172" t="str">
        <v>U.S Puerto Berrio</v>
      </c>
      <c r="I172">
        <v>1540</v>
      </c>
      <c r="J172">
        <v>3562</v>
      </c>
      <c r="K172">
        <v>321</v>
      </c>
      <c r="L172">
        <v>321</v>
      </c>
      <c r="M172">
        <v>5744</v>
      </c>
    </row>
    <row r="173" spans="1:13" x14ac:dyDescent="0.25">
      <c r="A173" t="s">
        <v>10</v>
      </c>
      <c r="B173">
        <v>1540</v>
      </c>
      <c r="C173">
        <v>3562</v>
      </c>
      <c r="D173">
        <v>321</v>
      </c>
      <c r="E173">
        <v>321</v>
      </c>
      <c r="F173">
        <v>5744</v>
      </c>
      <c r="H173" t="str">
        <v>U.S Girardota</v>
      </c>
      <c r="I173">
        <v>15620</v>
      </c>
      <c r="J173">
        <v>3210</v>
      </c>
      <c r="K173">
        <v>354</v>
      </c>
      <c r="L173">
        <v>354</v>
      </c>
      <c r="M173">
        <v>19538</v>
      </c>
    </row>
    <row r="174" spans="1:13" x14ac:dyDescent="0.25">
      <c r="A174" t="s">
        <v>11</v>
      </c>
      <c r="B174">
        <v>15620</v>
      </c>
      <c r="C174">
        <v>3210</v>
      </c>
      <c r="D174">
        <v>354</v>
      </c>
      <c r="E174">
        <v>354</v>
      </c>
      <c r="F174">
        <v>19538</v>
      </c>
      <c r="H174" t="str">
        <v>U.S Cristo Rey</v>
      </c>
      <c r="I174">
        <v>450</v>
      </c>
      <c r="J174">
        <v>1245</v>
      </c>
      <c r="K174">
        <v>321</v>
      </c>
      <c r="L174">
        <v>321</v>
      </c>
      <c r="M174">
        <v>2337</v>
      </c>
    </row>
    <row r="175" spans="1:13" x14ac:dyDescent="0.25">
      <c r="A175" t="s">
        <v>12</v>
      </c>
      <c r="B175">
        <v>450</v>
      </c>
      <c r="C175">
        <v>1245</v>
      </c>
      <c r="D175">
        <v>321</v>
      </c>
      <c r="E175">
        <v>321</v>
      </c>
      <c r="F175">
        <v>2337</v>
      </c>
      <c r="H175" t="str">
        <v>U.S Bello</v>
      </c>
      <c r="I175">
        <v>981</v>
      </c>
      <c r="J175">
        <v>321</v>
      </c>
      <c r="K175">
        <v>1580</v>
      </c>
      <c r="L175">
        <v>3654</v>
      </c>
      <c r="M175">
        <v>6536</v>
      </c>
    </row>
    <row r="176" spans="1:13" x14ac:dyDescent="0.25">
      <c r="A176" t="s">
        <v>13</v>
      </c>
      <c r="B176">
        <v>981</v>
      </c>
      <c r="C176">
        <v>321</v>
      </c>
      <c r="D176">
        <v>1580</v>
      </c>
      <c r="E176">
        <v>3654</v>
      </c>
      <c r="F176">
        <v>6536</v>
      </c>
      <c r="H176" t="str">
        <v>U.S Envigado</v>
      </c>
      <c r="I176">
        <v>541</v>
      </c>
      <c r="J176">
        <v>321</v>
      </c>
      <c r="K176">
        <v>1540</v>
      </c>
      <c r="L176">
        <v>123</v>
      </c>
      <c r="M176">
        <v>2525</v>
      </c>
    </row>
    <row r="177" spans="1:13" x14ac:dyDescent="0.25">
      <c r="A177" t="s">
        <v>14</v>
      </c>
      <c r="B177">
        <v>541</v>
      </c>
      <c r="C177">
        <v>321</v>
      </c>
      <c r="D177">
        <v>1540</v>
      </c>
      <c r="E177">
        <v>123</v>
      </c>
      <c r="F177">
        <v>2525</v>
      </c>
      <c r="H177" t="str">
        <v>U.S. La Ceja</v>
      </c>
      <c r="I177">
        <v>562</v>
      </c>
      <c r="J177">
        <v>354</v>
      </c>
      <c r="K177">
        <v>15620</v>
      </c>
      <c r="L177">
        <v>3056</v>
      </c>
      <c r="M177">
        <v>19592</v>
      </c>
    </row>
    <row r="178" spans="1:13" x14ac:dyDescent="0.25">
      <c r="A178" t="s">
        <v>15</v>
      </c>
      <c r="B178">
        <v>562</v>
      </c>
      <c r="C178">
        <v>354</v>
      </c>
      <c r="D178">
        <v>15620</v>
      </c>
      <c r="E178">
        <v>3056</v>
      </c>
      <c r="F178">
        <v>19592</v>
      </c>
      <c r="H178" t="str">
        <v>U.S San Ignacio.</v>
      </c>
      <c r="I178">
        <v>665</v>
      </c>
      <c r="J178">
        <v>321</v>
      </c>
      <c r="K178">
        <v>450</v>
      </c>
      <c r="L178">
        <v>562</v>
      </c>
      <c r="M178">
        <v>1998</v>
      </c>
    </row>
    <row r="179" spans="1:13" x14ac:dyDescent="0.25">
      <c r="A179" t="s">
        <v>16</v>
      </c>
      <c r="B179">
        <v>665</v>
      </c>
      <c r="C179">
        <v>321</v>
      </c>
      <c r="D179">
        <v>450</v>
      </c>
      <c r="E179">
        <v>562</v>
      </c>
      <c r="F179">
        <v>1998</v>
      </c>
      <c r="H179" t="str">
        <v>U.S Buenos Aires</v>
      </c>
      <c r="I179">
        <v>2698</v>
      </c>
      <c r="J179">
        <v>3654</v>
      </c>
      <c r="K179">
        <v>3566</v>
      </c>
      <c r="L179">
        <v>665</v>
      </c>
      <c r="M179">
        <v>10583</v>
      </c>
    </row>
    <row r="180" spans="1:13" x14ac:dyDescent="0.25">
      <c r="A180" t="s">
        <v>17</v>
      </c>
      <c r="B180">
        <v>2698</v>
      </c>
      <c r="C180">
        <v>3654</v>
      </c>
      <c r="D180">
        <v>3566</v>
      </c>
      <c r="E180">
        <v>665</v>
      </c>
      <c r="F180">
        <v>10583</v>
      </c>
      <c r="H180" t="str">
        <v>Centro Rec Los Osos.</v>
      </c>
      <c r="I180">
        <v>16412</v>
      </c>
      <c r="J180">
        <v>123</v>
      </c>
      <c r="K180">
        <v>315</v>
      </c>
      <c r="L180">
        <v>2698</v>
      </c>
      <c r="M180">
        <v>19548</v>
      </c>
    </row>
    <row r="181" spans="1:13" x14ac:dyDescent="0.25">
      <c r="A181" t="s">
        <v>18</v>
      </c>
      <c r="B181">
        <v>16412</v>
      </c>
      <c r="C181">
        <v>123</v>
      </c>
      <c r="D181">
        <v>315</v>
      </c>
      <c r="E181">
        <v>2698</v>
      </c>
      <c r="F181">
        <v>19548</v>
      </c>
      <c r="H181" t="str">
        <v>Centro Rec. Las Ballenas</v>
      </c>
      <c r="I181">
        <v>25000</v>
      </c>
      <c r="J181">
        <v>3056</v>
      </c>
      <c r="K181">
        <v>2665</v>
      </c>
      <c r="L181">
        <v>16412</v>
      </c>
      <c r="M181">
        <v>47133</v>
      </c>
    </row>
    <row r="182" spans="1:13" x14ac:dyDescent="0.25">
      <c r="A182" t="s">
        <v>19</v>
      </c>
      <c r="B182">
        <v>25000</v>
      </c>
      <c r="C182">
        <v>3056</v>
      </c>
      <c r="D182">
        <v>2665</v>
      </c>
      <c r="E182">
        <v>16412</v>
      </c>
      <c r="F182">
        <v>47133</v>
      </c>
      <c r="H182" t="str">
        <v>Centro Rec Los Grillos.</v>
      </c>
      <c r="I182">
        <v>35222</v>
      </c>
      <c r="J182">
        <v>368</v>
      </c>
      <c r="K182">
        <v>2510</v>
      </c>
      <c r="L182">
        <v>25000</v>
      </c>
      <c r="M182">
        <v>63100</v>
      </c>
    </row>
    <row r="183" spans="1:13" x14ac:dyDescent="0.25">
      <c r="A183" t="s">
        <v>20</v>
      </c>
      <c r="B183">
        <v>35222</v>
      </c>
      <c r="C183">
        <v>368</v>
      </c>
      <c r="D183">
        <v>2510</v>
      </c>
      <c r="E183">
        <v>25000</v>
      </c>
      <c r="F183">
        <v>63100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TextBox1">
          <controlPr defaultSize="0" autoLine="0" linkedCell="H2" r:id="rId4">
            <anchor moveWithCells="1">
              <from>
                <xdr:col>7</xdr:col>
                <xdr:colOff>0</xdr:colOff>
                <xdr:row>0</xdr:row>
                <xdr:rowOff>152400</xdr:rowOff>
              </from>
              <to>
                <xdr:col>8</xdr:col>
                <xdr:colOff>742950</xdr:colOff>
                <xdr:row>2</xdr:row>
                <xdr:rowOff>0</xdr:rowOff>
              </to>
            </anchor>
          </controlPr>
        </control>
      </mc:Choice>
      <mc:Fallback>
        <control shapeId="5121" r:id="rId3" name="TextBox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C880D-F57E-420D-900D-E9F60FD2BA79}">
  <sheetPr codeName="Hoja6"/>
  <dimension ref="A1:C1"/>
  <sheetViews>
    <sheetView workbookViewId="0">
      <selection activeCell="C2" sqref="C2"/>
    </sheetView>
  </sheetViews>
  <sheetFormatPr baseColWidth="10" defaultRowHeight="15" x14ac:dyDescent="0.25"/>
  <cols>
    <col min="1" max="1" width="2" bestFit="1" customWidth="1"/>
    <col min="2" max="2" width="8" bestFit="1" customWidth="1"/>
    <col min="3" max="3" width="18.5703125" bestFit="1" customWidth="1"/>
  </cols>
  <sheetData>
    <row r="1" spans="1:3" x14ac:dyDescent="0.25">
      <c r="A1" t="s">
        <v>37</v>
      </c>
      <c r="B1" t="s">
        <v>38</v>
      </c>
      <c r="C1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EADEB-61B1-4011-9610-FF3E4E683705}">
  <sheetPr codeName="Hoja7"/>
  <dimension ref="A2:C7"/>
  <sheetViews>
    <sheetView workbookViewId="0">
      <selection activeCell="C3" sqref="C3"/>
    </sheetView>
  </sheetViews>
  <sheetFormatPr baseColWidth="10" defaultRowHeight="15" x14ac:dyDescent="0.25"/>
  <sheetData>
    <row r="2" spans="1:3" x14ac:dyDescent="0.25">
      <c r="A2" t="s">
        <v>40</v>
      </c>
      <c r="C2" t="s">
        <v>45</v>
      </c>
    </row>
    <row r="3" spans="1:3" x14ac:dyDescent="0.25">
      <c r="A3" t="s">
        <v>41</v>
      </c>
    </row>
    <row r="4" spans="1:3" x14ac:dyDescent="0.25">
      <c r="A4" t="s">
        <v>42</v>
      </c>
    </row>
    <row r="5" spans="1:3" x14ac:dyDescent="0.25">
      <c r="A5" t="s">
        <v>43</v>
      </c>
    </row>
    <row r="6" spans="1:3" x14ac:dyDescent="0.25">
      <c r="A6" t="s">
        <v>44</v>
      </c>
    </row>
    <row r="7" spans="1:3" x14ac:dyDescent="0.25">
      <c r="A7" t="s">
        <v>30</v>
      </c>
    </row>
  </sheetData>
  <dataValidations count="1">
    <dataValidation type="list" allowBlank="1" showInputMessage="1" showErrorMessage="1" sqref="C3" xr:uid="{03467859-DBC5-4A83-9642-8D14A2169DE9}">
      <formula1>OFFSET(A3,0,0,COUNTA(A:A)-1)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Busqueda sinbuscarv</vt:lpstr>
      <vt:lpstr>FILTRAR DATOS</vt:lpstr>
      <vt:lpstr>Autoajuste</vt:lpstr>
      <vt:lpstr>Lista desplegable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</cp:lastModifiedBy>
  <dcterms:created xsi:type="dcterms:W3CDTF">2025-05-28T01:37:43Z</dcterms:created>
  <dcterms:modified xsi:type="dcterms:W3CDTF">2025-06-01T02:49:46Z</dcterms:modified>
</cp:coreProperties>
</file>