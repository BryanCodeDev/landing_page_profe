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BED51AFA-B3E8-4D65-BBAB-7B07E298CFF0}" xr6:coauthVersionLast="47" xr6:coauthVersionMax="47" xr10:uidLastSave="{00000000-0000-0000-0000-000000000000}"/>
  <bookViews>
    <workbookView xWindow="-120" yWindow="-120" windowWidth="20730" windowHeight="11040" activeTab="3" xr2:uid="{5DC396D3-B8C8-4979-8A24-E6BB8E0C0F5A}"/>
  </bookViews>
  <sheets>
    <sheet name="DATOS" sheetId="1" r:id="rId1"/>
    <sheet name="EJERCICIO 1" sheetId="2" r:id="rId2"/>
    <sheet name="EJERCICIO 2" sheetId="3" r:id="rId3"/>
    <sheet name="EJERCICIO 3" sheetId="4" r:id="rId4"/>
  </sheets>
  <definedNames>
    <definedName name="SegmentaciónDeDatos_PRODUCTO">#N/A</definedName>
  </definedNames>
  <calcPr calcId="191029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<sst xmlns="http://schemas.openxmlformats.org/spreadsheetml/2006/main" count="133" uniqueCount="29">
  <si>
    <t>FECHA</t>
  </si>
  <si>
    <t>VENDEDOR</t>
  </si>
  <si>
    <t>LUGAR</t>
  </si>
  <si>
    <t>PRODUCTO</t>
  </si>
  <si>
    <t>PRECIO</t>
  </si>
  <si>
    <t>CANTIDAD</t>
  </si>
  <si>
    <t>IMPORTE</t>
  </si>
  <si>
    <t>Julio</t>
  </si>
  <si>
    <t>Lince</t>
  </si>
  <si>
    <t>Mouse</t>
  </si>
  <si>
    <t>Rafael</t>
  </si>
  <si>
    <t>Los Olivos</t>
  </si>
  <si>
    <t>Parlantes</t>
  </si>
  <si>
    <t>Víctor</t>
  </si>
  <si>
    <t>Breña</t>
  </si>
  <si>
    <t>Pueblo Libre</t>
  </si>
  <si>
    <t>Billetera</t>
  </si>
  <si>
    <t>Pad</t>
  </si>
  <si>
    <t>María</t>
  </si>
  <si>
    <t>Cámara</t>
  </si>
  <si>
    <t>Audífonos</t>
  </si>
  <si>
    <t>San Miguel</t>
  </si>
  <si>
    <t>Eloisa</t>
  </si>
  <si>
    <t>Jesús</t>
  </si>
  <si>
    <t>Total general</t>
  </si>
  <si>
    <t>IMPORTE PROMEDIO</t>
  </si>
  <si>
    <t>VENDEDORES</t>
  </si>
  <si>
    <t>CANTIDAD DE VENTAS</t>
  </si>
  <si>
    <t>IMPORTE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</si>
</sst>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#,##0.00"/>
    <numFmt numFmtId="165" formatCode="&quot;$&quot;\ #,##0.00"/>
  </numFmts>
  <fonts count="1" x14ac:knownFonts="1"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9">
    <dxf>
      <numFmt numFmtId="164" formatCode="&quot;S/&quot;#,##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S/&quot;#,##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m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EJEMPLOS DE TABLAS DINÁMICAS.xlsx]EJERCICIO 2!TablaDinámica2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'EJERCICIO 2'!$B$7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'EJERCICIO 2'!$A$8:$A$14</c:f>
              <c:strCache>
                <c:ptCount val="6"/>
                <c:pt idx="0">
                  <c:v>Julio</c:v>
                </c:pt>
                <c:pt idx="1">
                  <c:v>Eloisa</c:v>
                </c:pt>
                <c:pt idx="2">
                  <c:v>Jesús</c:v>
                </c:pt>
                <c:pt idx="3">
                  <c:v>María</c:v>
                </c:pt>
                <c:pt idx="4">
                  <c:v>Rafael</c:v>
                </c:pt>
                <c:pt idx="5">
                  <c:v>Víctor</c:v>
                </c:pt>
              </c:strCache>
            </c:strRef>
          </c:cat>
          <c:val>
            <c:numRef>
              <c:f>'EJERCICIO 2'!$B$8:$B$14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11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A-498A-AF6D-D6801FB5FD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76199</xdr:rowOff>
    </xdr:from>
    <xdr:to>
      <xdr:col>7</xdr:col>
      <xdr:colOff>314324</xdr:colOff>
      <xdr:row>4</xdr:row>
      <xdr:rowOff>114300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id="{879AAD0E-E65A-4EA9-B059-55680C7085DE}"/>
            </a:ext>
          </a:extLst>
        </xdr:cNvPr>
        <xdr:cNvSpPr/>
      </xdr:nvSpPr>
      <xdr:spPr>
        <a:xfrm>
          <a:off x="114299" y="76199"/>
          <a:ext cx="8324850" cy="990601"/>
        </a:xfrm>
        <a:prstGeom prst="homePlate">
          <a:avLst/>
        </a:prstGeom>
        <a:solidFill>
          <a:schemeClr val="accent5">
            <a:lumMod val="60000"/>
            <a:lumOff val="40000"/>
          </a:schemeClr>
        </a:soli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800">
              <a:latin typeface="Century Schoolbook" panose="02040604050505020304" pitchFamily="18" charset="0"/>
              <a:cs typeface="AngsanaUPC" panose="02020603050405020304" pitchFamily="18" charset="-34"/>
            </a:rPr>
            <a:t>EJERCICIO 1:  En una tabla dinámica</a:t>
          </a:r>
          <a:r>
            <a:rPr lang="es-PE" sz="1800" baseline="0">
              <a:latin typeface="Century Schoolbook" panose="02040604050505020304" pitchFamily="18" charset="0"/>
              <a:cs typeface="AngsanaUPC" panose="02020603050405020304" pitchFamily="18" charset="-34"/>
            </a:rPr>
            <a:t> muestre el importe promedio total por cada vendedor. Configure un estilo de tabla dinámica y el campo de valor con formato moneda.</a:t>
          </a:r>
          <a:endParaRPr lang="es-PE" sz="1800">
            <a:latin typeface="Century Schoolbook" panose="02040604050505020304" pitchFamily="18" charset="0"/>
            <a:cs typeface="AngsanaUPC" panose="02020603050405020304" pitchFamily="18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76199</xdr:rowOff>
    </xdr:from>
    <xdr:to>
      <xdr:col>6</xdr:col>
      <xdr:colOff>857250</xdr:colOff>
      <xdr:row>4</xdr:row>
      <xdr:rowOff>95250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id="{B7673871-B3CB-441F-A955-D6584AFC2F3E}"/>
            </a:ext>
          </a:extLst>
        </xdr:cNvPr>
        <xdr:cNvSpPr/>
      </xdr:nvSpPr>
      <xdr:spPr>
        <a:xfrm>
          <a:off x="114300" y="76199"/>
          <a:ext cx="8220075" cy="971551"/>
        </a:xfrm>
        <a:prstGeom prst="homePlate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800">
              <a:latin typeface="Century Schoolbook" panose="02040604050505020304" pitchFamily="18" charset="0"/>
              <a:cs typeface="AngsanaUPC" panose="02020603050405020304" pitchFamily="18" charset="-34"/>
            </a:rPr>
            <a:t>EJERCICIO 2:  En una tabla dinámica</a:t>
          </a:r>
          <a:r>
            <a:rPr lang="es-PE" sz="1800" baseline="0">
              <a:latin typeface="Century Schoolbook" panose="02040604050505020304" pitchFamily="18" charset="0"/>
              <a:cs typeface="AngsanaUPC" panose="02020603050405020304" pitchFamily="18" charset="-34"/>
            </a:rPr>
            <a:t> muestre cuántas ventas hizo cada vendedor y presente un gráfico circular donde se vea el nombre de la categoría y el valor en porcentaje.</a:t>
          </a:r>
          <a:endParaRPr lang="es-PE" sz="1800">
            <a:latin typeface="Century Schoolbook" panose="0204060405050502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>
    <xdr:from>
      <xdr:col>2</xdr:col>
      <xdr:colOff>490537</xdr:colOff>
      <xdr:row>4</xdr:row>
      <xdr:rowOff>200025</xdr:rowOff>
    </xdr:from>
    <xdr:to>
      <xdr:col>6</xdr:col>
      <xdr:colOff>795337</xdr:colOff>
      <xdr:row>16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B3B262-11B8-F602-7BFB-8AE042043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76200</xdr:rowOff>
    </xdr:from>
    <xdr:to>
      <xdr:col>7</xdr:col>
      <xdr:colOff>142874</xdr:colOff>
      <xdr:row>3</xdr:row>
      <xdr:rowOff>66675</xdr:rowOff>
    </xdr:to>
    <xdr:sp macro="" textlink="">
      <xdr:nvSpPr>
        <xdr:cNvPr id="2" name="Flecha: pentágono 1">
          <a:extLst>
            <a:ext uri="{FF2B5EF4-FFF2-40B4-BE49-F238E27FC236}">
              <a16:creationId xmlns:a16="http://schemas.microsoft.com/office/drawing/2014/main" id="{2D84240E-6217-4F4A-973F-DE5320E91A6C}"/>
            </a:ext>
          </a:extLst>
        </xdr:cNvPr>
        <xdr:cNvSpPr/>
      </xdr:nvSpPr>
      <xdr:spPr>
        <a:xfrm>
          <a:off x="114299" y="76200"/>
          <a:ext cx="8010525" cy="704850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  <a:effectLst>
          <a:outerShdw blurRad="50800" dist="38100" dir="13500000" algn="br" rotWithShape="0">
            <a:prstClr val="black">
              <a:alpha val="40000"/>
            </a:prst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800">
              <a:latin typeface="Century Schoolbook" panose="02040604050505020304" pitchFamily="18" charset="0"/>
              <a:cs typeface="AngsanaUPC" panose="02020603050405020304" pitchFamily="18" charset="-34"/>
            </a:rPr>
            <a:t>EJERCICIO 3:  En una tabla dinámica</a:t>
          </a:r>
          <a:r>
            <a:rPr lang="es-PE" sz="1800" baseline="0">
              <a:latin typeface="Century Schoolbook" panose="02040604050505020304" pitchFamily="18" charset="0"/>
              <a:cs typeface="AngsanaUPC" panose="02020603050405020304" pitchFamily="18" charset="-34"/>
            </a:rPr>
            <a:t> muestra el importe total por cada vendedor, por lugar, con una segmentación de datos por producto.</a:t>
          </a:r>
          <a:endParaRPr lang="es-PE" sz="1800">
            <a:latin typeface="Century Schoolbook" panose="02040604050505020304" pitchFamily="18" charset="0"/>
            <a:cs typeface="AngsanaUPC" panose="02020603050405020304" pitchFamily="18" charset="-34"/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209551</xdr:rowOff>
    </xdr:from>
    <xdr:to>
      <xdr:col>4</xdr:col>
      <xdr:colOff>171450</xdr:colOff>
      <xdr:row>14</xdr:row>
      <xdr:rowOff>47626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O">
              <a:extLst>
                <a:ext uri="{FF2B5EF4-FFF2-40B4-BE49-F238E27FC236}">
                  <a16:creationId xmlns:a16="http://schemas.microsoft.com/office/drawing/2014/main" id="{D106B599-FF1D-DA8E-268D-CAFD8CEB55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923926"/>
              <a:ext cx="182880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ura" refreshedDate="45778.404565509256" createdVersion="8" refreshedVersion="8" minRefreshableVersion="3" recordCount="32" xr:uid="{4133CE41-A431-4779-8174-841EEB853E74}">
  <cacheSource type="worksheet">
    <worksheetSource name="Tabla1"/>
  </cacheSource>
  <cacheFields count="7">
    <cacheField name="FECHA" numFmtId="14">
      <sharedItems containsSemiMixedTypes="0" containsNonDate="0" containsDate="1" containsString="0" minDate="2019-01-02T00:00:00" maxDate="2020-02-16T00:00:00"/>
    </cacheField>
    <cacheField name="VENDEDOR" numFmtId="0">
      <sharedItems count="6">
        <s v="Julio"/>
        <s v="Rafael"/>
        <s v="Víctor"/>
        <s v="María"/>
        <s v="Eloisa"/>
        <s v="Jesús"/>
      </sharedItems>
    </cacheField>
    <cacheField name="LUGAR" numFmtId="0">
      <sharedItems count="5">
        <s v="Lince"/>
        <s v="Los Olivos"/>
        <s v="Breña"/>
        <s v="Pueblo Libre"/>
        <s v="San Miguel"/>
      </sharedItems>
    </cacheField>
    <cacheField name="PRODUCTO" numFmtId="0">
      <sharedItems count="6">
        <s v="Mouse"/>
        <s v="Parlantes"/>
        <s v="Billetera"/>
        <s v="Pad"/>
        <s v="Cámara"/>
        <s v="Audífonos"/>
      </sharedItems>
    </cacheField>
    <cacheField name="PRECIO" numFmtId="164">
      <sharedItems containsSemiMixedTypes="0" containsString="0" containsNumber="1" containsInteger="1" minValue="25" maxValue="180"/>
    </cacheField>
    <cacheField name="CANTIDAD" numFmtId="0">
      <sharedItems containsSemiMixedTypes="0" containsString="0" containsNumber="1" containsInteger="1" minValue="1" maxValue="12"/>
    </cacheField>
    <cacheField name="IMPORTE" numFmtId="164">
      <sharedItems containsSemiMixedTypes="0" containsString="0" containsNumber="1" containsInteger="1" minValue="48" maxValue="1260"/>
    </cacheField>
  </cacheFields>
  <extLst>
    <ext xmlns:x14="http://schemas.microsoft.com/office/spreadsheetml/2009/9/main" uri="{725AE2AE-9491-48be-B2B4-4EB974FC3084}">
      <x14:pivotCacheDefinition pivotCacheId="14329461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d v="2019-01-02T00:00:00"/>
    <x v="0"/>
    <x v="0"/>
    <x v="0"/>
    <n v="45"/>
    <n v="3"/>
    <n v="135"/>
  </r>
  <r>
    <d v="2019-01-03T00:00:00"/>
    <x v="1"/>
    <x v="1"/>
    <x v="1"/>
    <n v="55"/>
    <n v="5"/>
    <n v="275"/>
  </r>
  <r>
    <d v="2019-02-04T00:00:00"/>
    <x v="2"/>
    <x v="2"/>
    <x v="0"/>
    <n v="48"/>
    <n v="3"/>
    <n v="144"/>
  </r>
  <r>
    <d v="2019-02-15T00:00:00"/>
    <x v="1"/>
    <x v="3"/>
    <x v="1"/>
    <n v="58"/>
    <n v="5"/>
    <n v="290"/>
  </r>
  <r>
    <d v="2019-02-15T00:00:00"/>
    <x v="2"/>
    <x v="1"/>
    <x v="2"/>
    <n v="120"/>
    <n v="1"/>
    <n v="120"/>
  </r>
  <r>
    <d v="2019-01-02T00:00:00"/>
    <x v="0"/>
    <x v="0"/>
    <x v="3"/>
    <n v="25"/>
    <n v="4"/>
    <n v="100"/>
  </r>
  <r>
    <d v="2019-03-15T00:00:00"/>
    <x v="3"/>
    <x v="0"/>
    <x v="1"/>
    <n v="65"/>
    <n v="9"/>
    <n v="585"/>
  </r>
  <r>
    <d v="2019-01-04T00:00:00"/>
    <x v="1"/>
    <x v="1"/>
    <x v="4"/>
    <n v="180"/>
    <n v="7"/>
    <n v="1260"/>
  </r>
  <r>
    <d v="2019-02-06T00:00:00"/>
    <x v="0"/>
    <x v="3"/>
    <x v="5"/>
    <n v="89"/>
    <n v="6"/>
    <n v="534"/>
  </r>
  <r>
    <d v="2019-03-18T00:00:00"/>
    <x v="2"/>
    <x v="2"/>
    <x v="5"/>
    <n v="98"/>
    <n v="6"/>
    <n v="588"/>
  </r>
  <r>
    <d v="2019-04-15T00:00:00"/>
    <x v="0"/>
    <x v="4"/>
    <x v="4"/>
    <n v="154"/>
    <n v="1"/>
    <n v="154"/>
  </r>
  <r>
    <d v="2019-04-15T00:00:00"/>
    <x v="3"/>
    <x v="4"/>
    <x v="0"/>
    <n v="35"/>
    <n v="12"/>
    <n v="420"/>
  </r>
  <r>
    <d v="2019-05-21T00:00:00"/>
    <x v="0"/>
    <x v="0"/>
    <x v="4"/>
    <n v="126"/>
    <n v="2"/>
    <n v="252"/>
  </r>
  <r>
    <d v="2019-05-21T00:00:00"/>
    <x v="3"/>
    <x v="1"/>
    <x v="1"/>
    <n v="74"/>
    <n v="5"/>
    <n v="370"/>
  </r>
  <r>
    <d v="2019-05-02T00:00:00"/>
    <x v="2"/>
    <x v="2"/>
    <x v="4"/>
    <n v="165"/>
    <n v="4"/>
    <n v="660"/>
  </r>
  <r>
    <d v="2019-03-19T00:00:00"/>
    <x v="1"/>
    <x v="2"/>
    <x v="3"/>
    <n v="26"/>
    <n v="3"/>
    <n v="78"/>
  </r>
  <r>
    <d v="2019-03-19T00:00:00"/>
    <x v="4"/>
    <x v="4"/>
    <x v="1"/>
    <n v="75"/>
    <n v="3"/>
    <n v="225"/>
  </r>
  <r>
    <d v="2019-07-07T00:00:00"/>
    <x v="1"/>
    <x v="4"/>
    <x v="0"/>
    <n v="48"/>
    <n v="1"/>
    <n v="48"/>
  </r>
  <r>
    <d v="2019-06-15T00:00:00"/>
    <x v="5"/>
    <x v="3"/>
    <x v="4"/>
    <n v="145"/>
    <n v="2"/>
    <n v="290"/>
  </r>
  <r>
    <d v="2019-08-14T00:00:00"/>
    <x v="4"/>
    <x v="4"/>
    <x v="5"/>
    <n v="95"/>
    <n v="1"/>
    <n v="95"/>
  </r>
  <r>
    <d v="2019-08-14T00:00:00"/>
    <x v="2"/>
    <x v="2"/>
    <x v="5"/>
    <n v="79"/>
    <n v="2"/>
    <n v="158"/>
  </r>
  <r>
    <d v="2019-09-19T00:00:00"/>
    <x v="2"/>
    <x v="1"/>
    <x v="1"/>
    <n v="39"/>
    <n v="3"/>
    <n v="117"/>
  </r>
  <r>
    <d v="2019-06-15T00:00:00"/>
    <x v="1"/>
    <x v="3"/>
    <x v="4"/>
    <n v="145"/>
    <n v="2"/>
    <n v="290"/>
  </r>
  <r>
    <d v="2019-08-15T00:00:00"/>
    <x v="4"/>
    <x v="4"/>
    <x v="5"/>
    <n v="95"/>
    <n v="1"/>
    <n v="95"/>
  </r>
  <r>
    <d v="2019-08-15T00:00:00"/>
    <x v="1"/>
    <x v="2"/>
    <x v="5"/>
    <n v="79"/>
    <n v="2"/>
    <n v="158"/>
  </r>
  <r>
    <d v="2019-09-19T00:00:00"/>
    <x v="1"/>
    <x v="1"/>
    <x v="1"/>
    <n v="39"/>
    <n v="3"/>
    <n v="117"/>
  </r>
  <r>
    <d v="2020-01-02T00:00:00"/>
    <x v="2"/>
    <x v="2"/>
    <x v="5"/>
    <n v="79"/>
    <n v="2"/>
    <n v="158"/>
  </r>
  <r>
    <d v="2020-01-02T00:00:00"/>
    <x v="2"/>
    <x v="1"/>
    <x v="1"/>
    <n v="39"/>
    <n v="3"/>
    <n v="117"/>
  </r>
  <r>
    <d v="2020-02-15T00:00:00"/>
    <x v="1"/>
    <x v="3"/>
    <x v="4"/>
    <n v="145"/>
    <n v="2"/>
    <n v="290"/>
  </r>
  <r>
    <d v="2020-02-14T00:00:00"/>
    <x v="4"/>
    <x v="4"/>
    <x v="5"/>
    <n v="95"/>
    <n v="1"/>
    <n v="95"/>
  </r>
  <r>
    <d v="2020-02-15T00:00:00"/>
    <x v="1"/>
    <x v="2"/>
    <x v="5"/>
    <n v="79"/>
    <n v="2"/>
    <n v="158"/>
  </r>
  <r>
    <d v="2020-02-14T00:00:00"/>
    <x v="1"/>
    <x v="1"/>
    <x v="1"/>
    <n v="39"/>
    <n v="3"/>
    <n v="1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F9412-6A99-4268-BBE9-68FB03D1F6C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DEDORES">
  <location ref="A7:B14" firstHeaderRow="1" firstDataRow="1" firstDataCol="1"/>
  <pivotFields count="7">
    <pivotField numFmtId="14"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numFmtId="164" showAll="0"/>
    <pivotField showAll="0"/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IMPORTE PROMEDIO" fld="6" subtotal="average" baseField="1" baseItem="0" numFmtId="165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29FFF-8310-4B66-BB49-CED271B644FD}" name="TablaDiná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VENDEDORES">
  <location ref="A7:B14" firstHeaderRow="1" firstDataRow="1" firstDataCol="1"/>
  <pivotFields count="7">
    <pivotField numFmtId="14" showAll="0"/>
    <pivotField axis="axisRow" dataField="1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numFmtId="164" showAll="0"/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ANTIDAD DE VENTAS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1FAD6-BE1D-49EC-9313-BA702F174A0A}" name="TablaDinámica3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VENDEDORES">
  <location ref="A5:B15" firstHeaderRow="1" firstDataRow="1" firstDataCol="1"/>
  <pivotFields count="7">
    <pivotField numFmtId="14" showAll="0" defaultSubtotal="0"/>
    <pivotField axis="axisRow" showAll="0" defaultSubtotal="0">
      <items count="6">
        <item x="0"/>
        <item x="4"/>
        <item x="5"/>
        <item x="3"/>
        <item x="1"/>
        <item x="2"/>
      </items>
    </pivotField>
    <pivotField axis="axisRow" showAll="0" defaultSubtotal="0">
      <items count="5">
        <item x="2"/>
        <item x="0"/>
        <item x="1"/>
        <item x="3"/>
        <item x="4"/>
      </items>
    </pivotField>
    <pivotField showAll="0" defaultSubtotal="0">
      <items count="6">
        <item h="1" x="5"/>
        <item h="1" x="2"/>
        <item x="4"/>
        <item h="1" x="0"/>
        <item h="1" x="3"/>
        <item h="1" x="1"/>
      </items>
    </pivotField>
    <pivotField numFmtId="164" showAll="0" defaultSubtotal="0"/>
    <pivotField showAll="0" defaultSubtotal="0"/>
    <pivotField dataField="1" numFmtId="164" showAll="0" defaultSubtotal="0"/>
  </pivotFields>
  <rowFields count="2">
    <field x="1"/>
    <field x="2"/>
  </rowFields>
  <rowItems count="10">
    <i>
      <x/>
    </i>
    <i r="1">
      <x v="1"/>
    </i>
    <i r="1">
      <x v="4"/>
    </i>
    <i>
      <x v="2"/>
    </i>
    <i r="1">
      <x v="3"/>
    </i>
    <i>
      <x v="4"/>
    </i>
    <i r="1">
      <x v="2"/>
    </i>
    <i r="1">
      <x v="3"/>
    </i>
    <i>
      <x v="5"/>
    </i>
    <i r="1">
      <x/>
    </i>
  </rowItems>
  <colItems count="1">
    <i/>
  </colItems>
  <dataFields count="1">
    <dataField name="IMPORTE TOTAL" fld="6" baseField="1" baseItem="1" numFmtId="165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31758171-96F0-43CE-B8E9-C23F2E90E230}" sourceName="PRODUCTO">
  <pivotTables>
    <pivotTable tabId="4" name="TablaDinámica3"/>
  </pivotTables>
  <data>
    <tabular pivotCacheId="1432946112">
      <items count="6">
        <i x="5"/>
        <i x="2"/>
        <i x="4" s="1"/>
        <i x="0"/>
        <i x="3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" xr10:uid="{BABC9CC5-83FC-457A-8D40-D0460D67DB7C}" cache="SegmentaciónDeDatos_PRODUCTO" caption="PRODUCTO" style="SlicerStyleLight4" rowHeight="3048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838800-BB68-4E2B-B8CF-B00240F0B03C}" name="Tabla1" displayName="Tabla1" ref="A1:G33" totalsRowShown="0" headerRowDxfId="8" dataDxfId="7">
  <autoFilter ref="A1:G33" xr:uid="{982B1211-AEB5-4EC5-A2E4-B1EA4B44A9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214F0E-50AA-4712-AF79-85CD609C84BB}" name="FECHA" dataDxfId="6"/>
    <tableColumn id="2" xr3:uid="{11848AD1-D62F-47EF-A3F1-1AA5DC312251}" name="VENDEDOR" dataDxfId="5"/>
    <tableColumn id="3" xr3:uid="{E19A6015-F1F0-4614-A549-4F3041475D00}" name="LUGAR" dataDxfId="4"/>
    <tableColumn id="4" xr3:uid="{8F0EA793-AAED-462A-95FB-A58DE4C7E2A3}" name="PRODUCTO" dataDxfId="3"/>
    <tableColumn id="5" xr3:uid="{A6EA3D64-C27F-4A8E-8FDE-F45913930AD3}" name="PRECIO" dataDxfId="2"/>
    <tableColumn id="6" xr3:uid="{EDFDCE6E-9D4B-4FEC-BC65-74B1B7A17457}" name="CANTIDAD" dataDxfId="1"/>
    <tableColumn id="7" xr3:uid="{CE3338B3-C4B6-443F-AE06-CBF977F5F8B5}" name="IMPORTE" dataDxfId="0">
      <calculatedColumnFormula>E2*F2</calculatedColumnFormula>
    </tableColumn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354F-D91B-4966-B6B1-F155796FDBAA}">
  <dimension ref="A1:G33"/>
  <sheetViews>
    <sheetView showGridLines="0" topLeftCell="A2" workbookViewId="0">
      <selection activeCell="A8" sqref="A8"/>
    </sheetView>
  </sheetViews>
  <sheetFormatPr baseColWidth="10" defaultRowHeight="18.75" x14ac:dyDescent="0.3"/>
  <cols>
    <col min="1" max="1" width="11.19921875" style="7"/>
    <col min="2" max="2" width="12.3984375" style="4" customWidth="1"/>
    <col min="3" max="4" width="11.19921875" style="4"/>
    <col min="5" max="5" width="11.19921875" style="7"/>
    <col min="6" max="6" width="12.296875" style="6" customWidth="1"/>
    <col min="7" max="7" width="11.19921875" style="7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>
        <v>43467</v>
      </c>
      <c r="B2" s="4" t="s">
        <v>7</v>
      </c>
      <c r="C2" s="4" t="s">
        <v>8</v>
      </c>
      <c r="D2" s="4" t="s">
        <v>9</v>
      </c>
      <c r="E2" s="5">
        <v>45</v>
      </c>
      <c r="F2" s="6">
        <v>3</v>
      </c>
      <c r="G2" s="5">
        <f>E2*F2</f>
        <v>135</v>
      </c>
    </row>
    <row r="3" spans="1:7" x14ac:dyDescent="0.3">
      <c r="A3" s="3">
        <v>43468</v>
      </c>
      <c r="B3" s="4" t="s">
        <v>10</v>
      </c>
      <c r="C3" s="4" t="s">
        <v>11</v>
      </c>
      <c r="D3" s="4" t="s">
        <v>12</v>
      </c>
      <c r="E3" s="5">
        <v>55</v>
      </c>
      <c r="F3" s="6">
        <v>5</v>
      </c>
      <c r="G3" s="5">
        <f t="shared" ref="G3:G33" si="0">E3*F3</f>
        <v>275</v>
      </c>
    </row>
    <row r="4" spans="1:7" x14ac:dyDescent="0.3">
      <c r="A4" s="3">
        <v>43500</v>
      </c>
      <c r="B4" s="4" t="s">
        <v>13</v>
      </c>
      <c r="C4" s="4" t="s">
        <v>14</v>
      </c>
      <c r="D4" s="4" t="s">
        <v>9</v>
      </c>
      <c r="E4" s="5">
        <v>48</v>
      </c>
      <c r="F4" s="6">
        <v>3</v>
      </c>
      <c r="G4" s="5">
        <f t="shared" si="0"/>
        <v>144</v>
      </c>
    </row>
    <row r="5" spans="1:7" x14ac:dyDescent="0.3">
      <c r="A5" s="3">
        <v>43511</v>
      </c>
      <c r="B5" s="4" t="s">
        <v>10</v>
      </c>
      <c r="C5" s="4" t="s">
        <v>15</v>
      </c>
      <c r="D5" s="4" t="s">
        <v>12</v>
      </c>
      <c r="E5" s="5">
        <v>58</v>
      </c>
      <c r="F5" s="6">
        <v>5</v>
      </c>
      <c r="G5" s="5">
        <f t="shared" si="0"/>
        <v>290</v>
      </c>
    </row>
    <row r="6" spans="1:7" x14ac:dyDescent="0.3">
      <c r="A6" s="3">
        <v>43511</v>
      </c>
      <c r="B6" s="4" t="s">
        <v>13</v>
      </c>
      <c r="C6" s="4" t="s">
        <v>11</v>
      </c>
      <c r="D6" s="4" t="s">
        <v>16</v>
      </c>
      <c r="E6" s="5">
        <v>120</v>
      </c>
      <c r="F6" s="6">
        <v>1</v>
      </c>
      <c r="G6" s="5">
        <f t="shared" si="0"/>
        <v>120</v>
      </c>
    </row>
    <row r="7" spans="1:7" x14ac:dyDescent="0.3">
      <c r="A7" s="3">
        <v>43467</v>
      </c>
      <c r="B7" s="4" t="s">
        <v>7</v>
      </c>
      <c r="C7" s="4" t="s">
        <v>8</v>
      </c>
      <c r="D7" s="4" t="s">
        <v>17</v>
      </c>
      <c r="E7" s="5">
        <v>25</v>
      </c>
      <c r="F7" s="6">
        <v>4</v>
      </c>
      <c r="G7" s="5">
        <f t="shared" si="0"/>
        <v>100</v>
      </c>
    </row>
    <row r="8" spans="1:7" x14ac:dyDescent="0.3">
      <c r="A8" s="3">
        <v>43539</v>
      </c>
      <c r="B8" s="4" t="s">
        <v>18</v>
      </c>
      <c r="C8" s="4" t="s">
        <v>8</v>
      </c>
      <c r="D8" s="4" t="s">
        <v>12</v>
      </c>
      <c r="E8" s="5">
        <v>65</v>
      </c>
      <c r="F8" s="6">
        <v>9</v>
      </c>
      <c r="G8" s="5">
        <f t="shared" si="0"/>
        <v>585</v>
      </c>
    </row>
    <row r="9" spans="1:7" x14ac:dyDescent="0.3">
      <c r="A9" s="3">
        <v>43469</v>
      </c>
      <c r="B9" s="4" t="s">
        <v>10</v>
      </c>
      <c r="C9" s="4" t="s">
        <v>11</v>
      </c>
      <c r="D9" s="4" t="s">
        <v>19</v>
      </c>
      <c r="E9" s="5">
        <v>180</v>
      </c>
      <c r="F9" s="6">
        <v>7</v>
      </c>
      <c r="G9" s="5">
        <f t="shared" si="0"/>
        <v>1260</v>
      </c>
    </row>
    <row r="10" spans="1:7" x14ac:dyDescent="0.3">
      <c r="A10" s="3">
        <v>43502</v>
      </c>
      <c r="B10" s="4" t="s">
        <v>7</v>
      </c>
      <c r="C10" s="4" t="s">
        <v>15</v>
      </c>
      <c r="D10" s="4" t="s">
        <v>20</v>
      </c>
      <c r="E10" s="5">
        <v>89</v>
      </c>
      <c r="F10" s="6">
        <v>6</v>
      </c>
      <c r="G10" s="5">
        <f t="shared" si="0"/>
        <v>534</v>
      </c>
    </row>
    <row r="11" spans="1:7" x14ac:dyDescent="0.3">
      <c r="A11" s="3">
        <v>43542</v>
      </c>
      <c r="B11" s="4" t="s">
        <v>13</v>
      </c>
      <c r="C11" s="4" t="s">
        <v>14</v>
      </c>
      <c r="D11" s="4" t="s">
        <v>20</v>
      </c>
      <c r="E11" s="5">
        <v>98</v>
      </c>
      <c r="F11" s="6">
        <v>6</v>
      </c>
      <c r="G11" s="5">
        <f t="shared" si="0"/>
        <v>588</v>
      </c>
    </row>
    <row r="12" spans="1:7" x14ac:dyDescent="0.3">
      <c r="A12" s="3">
        <v>43570</v>
      </c>
      <c r="B12" s="4" t="s">
        <v>7</v>
      </c>
      <c r="C12" s="4" t="s">
        <v>21</v>
      </c>
      <c r="D12" s="4" t="s">
        <v>19</v>
      </c>
      <c r="E12" s="5">
        <v>154</v>
      </c>
      <c r="F12" s="6">
        <v>1</v>
      </c>
      <c r="G12" s="5">
        <f t="shared" si="0"/>
        <v>154</v>
      </c>
    </row>
    <row r="13" spans="1:7" x14ac:dyDescent="0.3">
      <c r="A13" s="3">
        <v>43570</v>
      </c>
      <c r="B13" s="4" t="s">
        <v>18</v>
      </c>
      <c r="C13" s="4" t="s">
        <v>21</v>
      </c>
      <c r="D13" s="4" t="s">
        <v>9</v>
      </c>
      <c r="E13" s="5">
        <v>35</v>
      </c>
      <c r="F13" s="6">
        <v>12</v>
      </c>
      <c r="G13" s="5">
        <f t="shared" si="0"/>
        <v>420</v>
      </c>
    </row>
    <row r="14" spans="1:7" x14ac:dyDescent="0.3">
      <c r="A14" s="3">
        <v>43606</v>
      </c>
      <c r="B14" s="4" t="s">
        <v>7</v>
      </c>
      <c r="C14" s="4" t="s">
        <v>8</v>
      </c>
      <c r="D14" s="4" t="s">
        <v>19</v>
      </c>
      <c r="E14" s="5">
        <v>126</v>
      </c>
      <c r="F14" s="6">
        <v>2</v>
      </c>
      <c r="G14" s="5">
        <f t="shared" si="0"/>
        <v>252</v>
      </c>
    </row>
    <row r="15" spans="1:7" x14ac:dyDescent="0.3">
      <c r="A15" s="3">
        <v>43606</v>
      </c>
      <c r="B15" s="4" t="s">
        <v>18</v>
      </c>
      <c r="C15" s="4" t="s">
        <v>11</v>
      </c>
      <c r="D15" s="4" t="s">
        <v>12</v>
      </c>
      <c r="E15" s="5">
        <v>74</v>
      </c>
      <c r="F15" s="6">
        <v>5</v>
      </c>
      <c r="G15" s="5">
        <f t="shared" si="0"/>
        <v>370</v>
      </c>
    </row>
    <row r="16" spans="1:7" x14ac:dyDescent="0.3">
      <c r="A16" s="3">
        <v>43587</v>
      </c>
      <c r="B16" s="4" t="s">
        <v>13</v>
      </c>
      <c r="C16" s="4" t="s">
        <v>14</v>
      </c>
      <c r="D16" s="4" t="s">
        <v>19</v>
      </c>
      <c r="E16" s="5">
        <v>165</v>
      </c>
      <c r="F16" s="6">
        <v>4</v>
      </c>
      <c r="G16" s="5">
        <f t="shared" si="0"/>
        <v>660</v>
      </c>
    </row>
    <row r="17" spans="1:7" x14ac:dyDescent="0.3">
      <c r="A17" s="3">
        <v>43543</v>
      </c>
      <c r="B17" s="4" t="s">
        <v>10</v>
      </c>
      <c r="C17" s="4" t="s">
        <v>14</v>
      </c>
      <c r="D17" s="4" t="s">
        <v>17</v>
      </c>
      <c r="E17" s="5">
        <v>26</v>
      </c>
      <c r="F17" s="6">
        <v>3</v>
      </c>
      <c r="G17" s="5">
        <f t="shared" si="0"/>
        <v>78</v>
      </c>
    </row>
    <row r="18" spans="1:7" x14ac:dyDescent="0.3">
      <c r="A18" s="3">
        <v>43543</v>
      </c>
      <c r="B18" s="4" t="s">
        <v>22</v>
      </c>
      <c r="C18" s="4" t="s">
        <v>21</v>
      </c>
      <c r="D18" s="4" t="s">
        <v>12</v>
      </c>
      <c r="E18" s="5">
        <v>75</v>
      </c>
      <c r="F18" s="6">
        <v>3</v>
      </c>
      <c r="G18" s="5">
        <f t="shared" si="0"/>
        <v>225</v>
      </c>
    </row>
    <row r="19" spans="1:7" x14ac:dyDescent="0.3">
      <c r="A19" s="3">
        <v>43653</v>
      </c>
      <c r="B19" s="4" t="s">
        <v>10</v>
      </c>
      <c r="C19" s="4" t="s">
        <v>21</v>
      </c>
      <c r="D19" s="4" t="s">
        <v>9</v>
      </c>
      <c r="E19" s="5">
        <v>48</v>
      </c>
      <c r="F19" s="6">
        <v>1</v>
      </c>
      <c r="G19" s="5">
        <f t="shared" si="0"/>
        <v>48</v>
      </c>
    </row>
    <row r="20" spans="1:7" x14ac:dyDescent="0.3">
      <c r="A20" s="3">
        <v>43631</v>
      </c>
      <c r="B20" s="4" t="s">
        <v>23</v>
      </c>
      <c r="C20" s="4" t="s">
        <v>15</v>
      </c>
      <c r="D20" s="4" t="s">
        <v>19</v>
      </c>
      <c r="E20" s="5">
        <v>145</v>
      </c>
      <c r="F20" s="6">
        <v>2</v>
      </c>
      <c r="G20" s="5">
        <f t="shared" si="0"/>
        <v>290</v>
      </c>
    </row>
    <row r="21" spans="1:7" x14ac:dyDescent="0.3">
      <c r="A21" s="3">
        <v>43691</v>
      </c>
      <c r="B21" s="4" t="s">
        <v>22</v>
      </c>
      <c r="C21" s="4" t="s">
        <v>21</v>
      </c>
      <c r="D21" s="4" t="s">
        <v>20</v>
      </c>
      <c r="E21" s="5">
        <v>95</v>
      </c>
      <c r="F21" s="6">
        <v>1</v>
      </c>
      <c r="G21" s="5">
        <f t="shared" si="0"/>
        <v>95</v>
      </c>
    </row>
    <row r="22" spans="1:7" x14ac:dyDescent="0.3">
      <c r="A22" s="3">
        <v>43691</v>
      </c>
      <c r="B22" s="4" t="s">
        <v>13</v>
      </c>
      <c r="C22" s="4" t="s">
        <v>14</v>
      </c>
      <c r="D22" s="4" t="s">
        <v>20</v>
      </c>
      <c r="E22" s="5">
        <v>79</v>
      </c>
      <c r="F22" s="6">
        <v>2</v>
      </c>
      <c r="G22" s="5">
        <f t="shared" si="0"/>
        <v>158</v>
      </c>
    </row>
    <row r="23" spans="1:7" x14ac:dyDescent="0.3">
      <c r="A23" s="3">
        <v>43727</v>
      </c>
      <c r="B23" s="4" t="s">
        <v>13</v>
      </c>
      <c r="C23" s="4" t="s">
        <v>11</v>
      </c>
      <c r="D23" s="4" t="s">
        <v>12</v>
      </c>
      <c r="E23" s="5">
        <v>39</v>
      </c>
      <c r="F23" s="6">
        <v>3</v>
      </c>
      <c r="G23" s="5">
        <f t="shared" si="0"/>
        <v>117</v>
      </c>
    </row>
    <row r="24" spans="1:7" x14ac:dyDescent="0.3">
      <c r="A24" s="3">
        <v>43631</v>
      </c>
      <c r="B24" s="4" t="s">
        <v>10</v>
      </c>
      <c r="C24" s="4" t="s">
        <v>15</v>
      </c>
      <c r="D24" s="4" t="s">
        <v>19</v>
      </c>
      <c r="E24" s="5">
        <v>145</v>
      </c>
      <c r="F24" s="6">
        <v>2</v>
      </c>
      <c r="G24" s="5">
        <f t="shared" si="0"/>
        <v>290</v>
      </c>
    </row>
    <row r="25" spans="1:7" x14ac:dyDescent="0.3">
      <c r="A25" s="3">
        <v>43692</v>
      </c>
      <c r="B25" s="4" t="s">
        <v>22</v>
      </c>
      <c r="C25" s="4" t="s">
        <v>21</v>
      </c>
      <c r="D25" s="4" t="s">
        <v>20</v>
      </c>
      <c r="E25" s="5">
        <v>95</v>
      </c>
      <c r="F25" s="6">
        <v>1</v>
      </c>
      <c r="G25" s="5">
        <f t="shared" si="0"/>
        <v>95</v>
      </c>
    </row>
    <row r="26" spans="1:7" x14ac:dyDescent="0.3">
      <c r="A26" s="3">
        <v>43692</v>
      </c>
      <c r="B26" s="4" t="s">
        <v>10</v>
      </c>
      <c r="C26" s="4" t="s">
        <v>14</v>
      </c>
      <c r="D26" s="4" t="s">
        <v>20</v>
      </c>
      <c r="E26" s="5">
        <v>79</v>
      </c>
      <c r="F26" s="6">
        <v>2</v>
      </c>
      <c r="G26" s="5">
        <f t="shared" si="0"/>
        <v>158</v>
      </c>
    </row>
    <row r="27" spans="1:7" x14ac:dyDescent="0.3">
      <c r="A27" s="3">
        <v>43727</v>
      </c>
      <c r="B27" s="4" t="s">
        <v>10</v>
      </c>
      <c r="C27" s="4" t="s">
        <v>11</v>
      </c>
      <c r="D27" s="4" t="s">
        <v>12</v>
      </c>
      <c r="E27" s="5">
        <v>39</v>
      </c>
      <c r="F27" s="6">
        <v>3</v>
      </c>
      <c r="G27" s="5">
        <f t="shared" si="0"/>
        <v>117</v>
      </c>
    </row>
    <row r="28" spans="1:7" x14ac:dyDescent="0.3">
      <c r="A28" s="3">
        <v>43832</v>
      </c>
      <c r="B28" s="4" t="s">
        <v>13</v>
      </c>
      <c r="C28" s="4" t="s">
        <v>14</v>
      </c>
      <c r="D28" s="4" t="s">
        <v>20</v>
      </c>
      <c r="E28" s="5">
        <v>79</v>
      </c>
      <c r="F28" s="6">
        <v>2</v>
      </c>
      <c r="G28" s="5">
        <f t="shared" si="0"/>
        <v>158</v>
      </c>
    </row>
    <row r="29" spans="1:7" x14ac:dyDescent="0.3">
      <c r="A29" s="3">
        <v>43832</v>
      </c>
      <c r="B29" s="4" t="s">
        <v>13</v>
      </c>
      <c r="C29" s="4" t="s">
        <v>11</v>
      </c>
      <c r="D29" s="4" t="s">
        <v>12</v>
      </c>
      <c r="E29" s="5">
        <v>39</v>
      </c>
      <c r="F29" s="6">
        <v>3</v>
      </c>
      <c r="G29" s="5">
        <f t="shared" si="0"/>
        <v>117</v>
      </c>
    </row>
    <row r="30" spans="1:7" x14ac:dyDescent="0.3">
      <c r="A30" s="3">
        <v>43876</v>
      </c>
      <c r="B30" s="4" t="s">
        <v>10</v>
      </c>
      <c r="C30" s="4" t="s">
        <v>15</v>
      </c>
      <c r="D30" s="4" t="s">
        <v>19</v>
      </c>
      <c r="E30" s="5">
        <v>145</v>
      </c>
      <c r="F30" s="6">
        <v>2</v>
      </c>
      <c r="G30" s="5">
        <f t="shared" si="0"/>
        <v>290</v>
      </c>
    </row>
    <row r="31" spans="1:7" x14ac:dyDescent="0.3">
      <c r="A31" s="3">
        <v>43875</v>
      </c>
      <c r="B31" s="4" t="s">
        <v>22</v>
      </c>
      <c r="C31" s="4" t="s">
        <v>21</v>
      </c>
      <c r="D31" s="4" t="s">
        <v>20</v>
      </c>
      <c r="E31" s="5">
        <v>95</v>
      </c>
      <c r="F31" s="6">
        <v>1</v>
      </c>
      <c r="G31" s="5">
        <f t="shared" si="0"/>
        <v>95</v>
      </c>
    </row>
    <row r="32" spans="1:7" x14ac:dyDescent="0.3">
      <c r="A32" s="3">
        <v>43876</v>
      </c>
      <c r="B32" s="4" t="s">
        <v>10</v>
      </c>
      <c r="C32" s="4" t="s">
        <v>14</v>
      </c>
      <c r="D32" s="4" t="s">
        <v>20</v>
      </c>
      <c r="E32" s="5">
        <v>79</v>
      </c>
      <c r="F32" s="6">
        <v>2</v>
      </c>
      <c r="G32" s="5">
        <f t="shared" si="0"/>
        <v>158</v>
      </c>
    </row>
    <row r="33" spans="1:7" x14ac:dyDescent="0.3">
      <c r="A33" s="3">
        <v>43875</v>
      </c>
      <c r="B33" s="4" t="s">
        <v>10</v>
      </c>
      <c r="C33" s="4" t="s">
        <v>11</v>
      </c>
      <c r="D33" s="4" t="s">
        <v>12</v>
      </c>
      <c r="E33" s="5">
        <v>39</v>
      </c>
      <c r="F33" s="6">
        <v>3</v>
      </c>
      <c r="G33" s="5">
        <f t="shared" si="0"/>
        <v>117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4FA3-6C1C-40B1-B54D-2FD4C4CEA1DC}">
  <dimension ref="A7:B14"/>
  <sheetViews>
    <sheetView showGridLines="0" workbookViewId="0">
      <selection activeCell="A7" sqref="A7:B14"/>
    </sheetView>
  </sheetViews>
  <sheetFormatPr baseColWidth="10" defaultRowHeight="18.75" x14ac:dyDescent="0.3"/>
  <cols>
    <col min="1" max="1" width="15.296875" bestFit="1" customWidth="1"/>
    <col min="2" max="2" width="17.796875" bestFit="1" customWidth="1"/>
    <col min="3" max="6" width="19.59765625" bestFit="1" customWidth="1"/>
    <col min="7" max="7" width="11.296875" bestFit="1" customWidth="1"/>
  </cols>
  <sheetData>
    <row r="7" spans="1:2" x14ac:dyDescent="0.3">
      <c r="A7" s="8" t="s">
        <v>26</v>
      </c>
      <c r="B7" t="s">
        <v>25</v>
      </c>
    </row>
    <row r="8" spans="1:2" x14ac:dyDescent="0.3">
      <c r="A8" s="4" t="s">
        <v>7</v>
      </c>
      <c r="B8" s="10">
        <v>235</v>
      </c>
    </row>
    <row r="9" spans="1:2" x14ac:dyDescent="0.3">
      <c r="A9" s="4" t="s">
        <v>22</v>
      </c>
      <c r="B9" s="10">
        <v>127.5</v>
      </c>
    </row>
    <row r="10" spans="1:2" x14ac:dyDescent="0.3">
      <c r="A10" s="4" t="s">
        <v>23</v>
      </c>
      <c r="B10" s="10">
        <v>290</v>
      </c>
    </row>
    <row r="11" spans="1:2" x14ac:dyDescent="0.3">
      <c r="A11" s="4" t="s">
        <v>18</v>
      </c>
      <c r="B11" s="10">
        <v>458.33333333333331</v>
      </c>
    </row>
    <row r="12" spans="1:2" x14ac:dyDescent="0.3">
      <c r="A12" s="4" t="s">
        <v>10</v>
      </c>
      <c r="B12" s="10">
        <v>280.09090909090907</v>
      </c>
    </row>
    <row r="13" spans="1:2" x14ac:dyDescent="0.3">
      <c r="A13" s="4" t="s">
        <v>13</v>
      </c>
      <c r="B13" s="10">
        <v>257.75</v>
      </c>
    </row>
    <row r="14" spans="1:2" x14ac:dyDescent="0.3">
      <c r="A14" s="4" t="s">
        <v>24</v>
      </c>
      <c r="B14" s="10">
        <v>265.40625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03BD-9C4E-4B32-9ADD-F7DDD51EDDBE}">
  <dimension ref="A7:B14"/>
  <sheetViews>
    <sheetView showGridLines="0" workbookViewId="0">
      <selection activeCell="H13" sqref="H13"/>
    </sheetView>
  </sheetViews>
  <sheetFormatPr baseColWidth="10" defaultRowHeight="18.75" x14ac:dyDescent="0.3"/>
  <cols>
    <col min="1" max="1" width="15.296875" bestFit="1" customWidth="1"/>
    <col min="2" max="2" width="18.3984375" bestFit="1" customWidth="1"/>
  </cols>
  <sheetData>
    <row r="7" spans="1:2" x14ac:dyDescent="0.3">
      <c r="A7" s="8" t="s">
        <v>26</v>
      </c>
      <c r="B7" t="s">
        <v>27</v>
      </c>
    </row>
    <row r="8" spans="1:2" x14ac:dyDescent="0.3">
      <c r="A8" s="4" t="s">
        <v>7</v>
      </c>
      <c r="B8" s="9">
        <v>5</v>
      </c>
    </row>
    <row r="9" spans="1:2" x14ac:dyDescent="0.3">
      <c r="A9" s="4" t="s">
        <v>22</v>
      </c>
      <c r="B9" s="9">
        <v>4</v>
      </c>
    </row>
    <row r="10" spans="1:2" x14ac:dyDescent="0.3">
      <c r="A10" s="4" t="s">
        <v>23</v>
      </c>
      <c r="B10" s="9">
        <v>1</v>
      </c>
    </row>
    <row r="11" spans="1:2" x14ac:dyDescent="0.3">
      <c r="A11" s="4" t="s">
        <v>18</v>
      </c>
      <c r="B11" s="9">
        <v>3</v>
      </c>
    </row>
    <row r="12" spans="1:2" x14ac:dyDescent="0.3">
      <c r="A12" s="4" t="s">
        <v>10</v>
      </c>
      <c r="B12" s="9">
        <v>11</v>
      </c>
    </row>
    <row r="13" spans="1:2" x14ac:dyDescent="0.3">
      <c r="A13" s="4" t="s">
        <v>13</v>
      </c>
      <c r="B13" s="9">
        <v>8</v>
      </c>
    </row>
    <row r="14" spans="1:2" x14ac:dyDescent="0.3">
      <c r="A14" s="4" t="s">
        <v>24</v>
      </c>
      <c r="B14" s="9">
        <v>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334D-1355-4016-B78A-49D26E2CC29E}">
  <dimension ref="A5:B15"/>
  <sheetViews>
    <sheetView showGridLines="0" tabSelected="1" workbookViewId="0">
      <selection activeCell="B6" sqref="B6"/>
    </sheetView>
  </sheetViews>
  <sheetFormatPr baseColWidth="10" defaultRowHeight="18.75" x14ac:dyDescent="0.3"/>
  <cols>
    <col min="1" max="1" width="14" bestFit="1" customWidth="1"/>
    <col min="2" max="2" width="13.796875" bestFit="1" customWidth="1"/>
  </cols>
  <sheetData>
    <row r="5" spans="1:2" x14ac:dyDescent="0.3">
      <c r="A5" s="8" t="s">
        <v>26</v>
      </c>
      <c r="B5" t="s">
        <v>28</v>
      </c>
    </row>
    <row r="6" spans="1:2" x14ac:dyDescent="0.3">
      <c r="A6" s="4" t="s">
        <v>7</v>
      </c>
      <c r="B6" s="10"/>
    </row>
    <row r="7" spans="1:2" x14ac:dyDescent="0.3">
      <c r="A7" s="11" t="s">
        <v>8</v>
      </c>
      <c r="B7" s="10">
        <v>252</v>
      </c>
    </row>
    <row r="8" spans="1:2" x14ac:dyDescent="0.3">
      <c r="A8" s="11" t="s">
        <v>21</v>
      </c>
      <c r="B8" s="10">
        <v>154</v>
      </c>
    </row>
    <row r="9" spans="1:2" x14ac:dyDescent="0.3">
      <c r="A9" s="4" t="s">
        <v>23</v>
      </c>
      <c r="B9" s="10"/>
    </row>
    <row r="10" spans="1:2" x14ac:dyDescent="0.3">
      <c r="A10" s="11" t="s">
        <v>15</v>
      </c>
      <c r="B10" s="10">
        <v>290</v>
      </c>
    </row>
    <row r="11" spans="1:2" x14ac:dyDescent="0.3">
      <c r="A11" s="4" t="s">
        <v>10</v>
      </c>
      <c r="B11" s="10"/>
    </row>
    <row r="12" spans="1:2" x14ac:dyDescent="0.3">
      <c r="A12" s="11" t="s">
        <v>11</v>
      </c>
      <c r="B12" s="10">
        <v>1260</v>
      </c>
    </row>
    <row r="13" spans="1:2" x14ac:dyDescent="0.3">
      <c r="A13" s="11" t="s">
        <v>15</v>
      </c>
      <c r="B13" s="10">
        <v>580</v>
      </c>
    </row>
    <row r="14" spans="1:2" x14ac:dyDescent="0.3">
      <c r="A14" s="4" t="s">
        <v>13</v>
      </c>
      <c r="B14" s="10"/>
    </row>
    <row r="15" spans="1:2" x14ac:dyDescent="0.3">
      <c r="A15" s="11" t="s">
        <v>14</v>
      </c>
      <c r="B15" s="10">
        <v>660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EJERCICIO 1</vt:lpstr>
      <vt:lpstr>EJERCICIO 2</vt:lpstr>
      <vt:lpstr>EJERCICIO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Zerpa</dc:creator>
  <cp:lastModifiedBy>Laura</cp:lastModifiedBy>
  <dcterms:created xsi:type="dcterms:W3CDTF">2021-04-24T22:58:43Z</dcterms:created>
  <dcterms:modified xsi:type="dcterms:W3CDTF">2025-05-01T15:20:37Z</dcterms:modified>
</cp:coreProperties>
</file>