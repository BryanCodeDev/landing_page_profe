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905"/>
  </bookViews>
  <sheets>
    <sheet name="Enunciado" sheetId="3" r:id="rId1"/>
    <sheet name="Resultados" sheetId="1" r:id="rId2"/>
  </sheets>
  <definedNames>
    <definedName name="_xlnm._FilterDatabase" localSheetId="0" hidden="1">Enunciado!$A$5:$C$20</definedName>
    <definedName name="_xlnm._FilterDatabase" localSheetId="1" hidden="1">Resultados!$A$5:$C$20</definedName>
  </definedNames>
  <calcPr calcId="144525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0" i="1"/>
  <c r="H15" i="1"/>
  <c r="H16" i="1"/>
  <c r="H12" i="1"/>
  <c r="H13" i="1"/>
  <c r="H11" i="1"/>
  <c r="H9" i="1"/>
  <c r="H8" i="1"/>
  <c r="H7" i="1"/>
  <c r="H6" i="1"/>
</calcChain>
</file>

<file path=xl/sharedStrings.xml><?xml version="1.0" encoding="utf-8"?>
<sst xmlns="http://schemas.openxmlformats.org/spreadsheetml/2006/main" count="101" uniqueCount="42">
  <si>
    <t>www.excelyVBA.com</t>
  </si>
  <si>
    <t>Edad</t>
  </si>
  <si>
    <t>Departamento</t>
  </si>
  <si>
    <t>ID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</si>
  <si>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</si>
  <si>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</si>
  <si>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</si>
  <si>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</si>
  <si>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</si>
  <si>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</si>
  <si>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</si>
  <si>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</si>
  <si>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</si>
  <si>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</si>
  <si>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</si>
  <si>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</si>
  <si>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</si>
  <si>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</si>
  <si>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</si>
  <si>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Ejercicios de funciones básicas</t>
  </si>
  <si>
    <t>Dept1</t>
  </si>
  <si>
    <t>Dept2</t>
  </si>
  <si>
    <t>Dept3</t>
  </si>
  <si>
    <t>Dept4</t>
  </si>
  <si>
    <t>Dept5</t>
  </si>
  <si>
    <t>Dept6</t>
  </si>
  <si>
    <t>Jornada (horas)</t>
  </si>
  <si>
    <t>Ventas</t>
  </si>
  <si>
    <t>1. Número de comerciales de la lista. Utiliza la función CONTAR.</t>
  </si>
  <si>
    <t>2. Edad media de los comerciales. Utiliza la función PROMEDIO.</t>
  </si>
  <si>
    <t>3. Jornada media de los empleados. Utiliza la función PROMEDIO.</t>
  </si>
  <si>
    <t>4. Suma de las ventas realizadas. Utiliza la función SUMA.</t>
  </si>
  <si>
    <t>5. Número de comerciales en el departamento 1 (Dept1). Utiliza la función CONTAR.SI.</t>
  </si>
  <si>
    <t>6. Media de edad de los comerciales del departamento 2 (Dept2). Utiliza la función PROMEDIO.SI.</t>
  </si>
  <si>
    <t>7. Suma de las ventas de los empleados del departament 3 (Dept3). Utiliza la función SUMA.SI.</t>
  </si>
  <si>
    <t>8. Suma de las ventas de los empleados del Departamento 4 y 5 (Dept4 y Dept5). Utiliza la función SUMA.SI dos veces.</t>
  </si>
  <si>
    <t>9. Media de las ventas de los empleados mayores de 30 años. Utiliza la función PROMEDIO.SI.</t>
  </si>
  <si>
    <t>10. Media de la jornada de los empleados que venden más de 1.500 €. Utiliza la función PROMEDIO.SI.</t>
  </si>
  <si>
    <t>11. Suma de las ventas mayores de 1.200 €. Utiliza la función SUMAR.SI</t>
  </si>
  <si>
    <t>Enunciado</t>
  </si>
  <si>
    <t>Resultado</t>
  </si>
  <si>
    <t>Resolución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</si>
</sst>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\ [$€-C0A]_-;\-* #,##0\ [$€-C0A]_-;_-* &quot;-&quot;??\ [$€-C0A]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 tint="-0.499984740745262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Font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4" fontId="0" fillId="0" borderId="0" xfId="0" quotePrefix="1" applyNumberFormat="1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6" fillId="0" borderId="1" xfId="0" applyFont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0" fillId="3" borderId="1" xfId="0" applyFill="1" applyBorder="1"/>
    <xf numFmtId="0" fontId="6" fillId="3" borderId="1" xfId="0" applyFont="1" applyFill="1" applyBorder="1"/>
    <xf numFmtId="164" fontId="0" fillId="3" borderId="1" xfId="0" applyNumberFormat="1" applyFill="1" applyBorder="1"/>
    <xf numFmtId="2" fontId="0" fillId="3" borderId="1" xfId="0" applyNumberFormat="1" applyFill="1" applyBorder="1"/>
    <xf numFmtId="0" fontId="5" fillId="0" borderId="5" xfId="0" applyFont="1" applyBorder="1" applyAlignment="1">
      <alignment horizontal="center"/>
    </xf>
    <xf numFmtId="0" fontId="0" fillId="0" borderId="0" xfId="0" applyBorder="1"/>
    <xf numFmtId="0" fontId="4" fillId="4" borderId="0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0</xdr:rowOff>
    </xdr:from>
    <xdr:to>
      <xdr:col>0</xdr:col>
      <xdr:colOff>685801</xdr:colOff>
      <xdr:row>1</xdr:row>
      <xdr:rowOff>176652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0"/>
          <a:ext cx="514350" cy="510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0</xdr:rowOff>
    </xdr:from>
    <xdr:to>
      <xdr:col>0</xdr:col>
      <xdr:colOff>685801</xdr:colOff>
      <xdr:row>1</xdr:row>
      <xdr:rowOff>176652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0"/>
          <a:ext cx="514350" cy="510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yvba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xcelyvb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tabSelected="1" workbookViewId="0">
      <selection activeCell="E6" sqref="E6"/>
    </sheetView>
  </sheetViews>
  <sheetFormatPr baseColWidth="10" defaultColWidth="11.42578125" defaultRowHeight="15" x14ac:dyDescent="0.25"/>
  <cols>
    <col min="2" max="2" width="13.42578125" customWidth="1"/>
    <col min="3" max="3" width="15.85546875" customWidth="1"/>
    <col min="4" max="4" width="14.5703125" customWidth="1"/>
    <col min="5" max="5" width="14.28515625" customWidth="1"/>
    <col min="6" max="6" width="12.140625" customWidth="1"/>
    <col min="7" max="7" width="94.85546875" bestFit="1" customWidth="1"/>
  </cols>
  <sheetData>
    <row r="1" spans="1:12" ht="26.25" x14ac:dyDescent="0.4">
      <c r="B1" s="1" t="s">
        <v>19</v>
      </c>
    </row>
    <row r="2" spans="1:12" x14ac:dyDescent="0.25">
      <c r="B2" s="2" t="s">
        <v>0</v>
      </c>
    </row>
    <row r="3" spans="1:12" x14ac:dyDescent="0.25">
      <c r="G3" s="21"/>
      <c r="H3" s="21"/>
      <c r="I3" s="21"/>
      <c r="J3" s="21"/>
      <c r="K3" s="21"/>
      <c r="L3" s="21"/>
    </row>
    <row r="4" spans="1:12" x14ac:dyDescent="0.25">
      <c r="G4" s="21"/>
      <c r="H4" s="21"/>
      <c r="I4" s="21"/>
      <c r="J4" s="21"/>
      <c r="K4" s="21"/>
      <c r="L4" s="21"/>
    </row>
    <row r="5" spans="1:12" ht="15" customHeight="1" x14ac:dyDescent="0.25">
      <c r="A5" s="7" t="s">
        <v>3</v>
      </c>
      <c r="B5" s="8" t="s">
        <v>1</v>
      </c>
      <c r="C5" s="8" t="s">
        <v>2</v>
      </c>
      <c r="D5" s="8" t="s">
        <v>26</v>
      </c>
      <c r="E5" s="9" t="s">
        <v>27</v>
      </c>
      <c r="F5" s="3"/>
      <c r="G5" s="9" t="s">
        <v>39</v>
      </c>
      <c r="H5" s="9" t="s">
        <v>40</v>
      </c>
      <c r="I5" s="22"/>
      <c r="J5" s="22"/>
      <c r="K5" s="22"/>
      <c r="L5" s="21"/>
    </row>
    <row r="6" spans="1:12" ht="15" customHeight="1" x14ac:dyDescent="0.25">
      <c r="A6" s="4" t="s">
        <v>4</v>
      </c>
      <c r="B6" s="4">
        <v>50</v>
      </c>
      <c r="C6" s="4" t="s">
        <v>20</v>
      </c>
      <c r="D6" s="4">
        <v>7</v>
      </c>
      <c r="E6" s="5">
        <v>1050</v>
      </c>
      <c r="F6" s="6"/>
      <c r="G6" s="12" t="s">
        <v>28</v>
      </c>
      <c r="H6" s="10"/>
      <c r="I6" s="22"/>
      <c r="J6" s="22"/>
      <c r="K6" s="22"/>
      <c r="L6" s="21"/>
    </row>
    <row r="7" spans="1:12" ht="15" customHeight="1" x14ac:dyDescent="0.25">
      <c r="A7" s="4" t="s">
        <v>5</v>
      </c>
      <c r="B7" s="4">
        <v>49</v>
      </c>
      <c r="C7" s="4" t="s">
        <v>22</v>
      </c>
      <c r="D7" s="4">
        <v>6</v>
      </c>
      <c r="E7" s="5">
        <v>1830</v>
      </c>
      <c r="F7" s="6"/>
      <c r="G7" s="15" t="s">
        <v>29</v>
      </c>
      <c r="H7" s="16"/>
      <c r="I7" s="22"/>
      <c r="J7" s="22"/>
      <c r="K7" s="22"/>
      <c r="L7" s="21"/>
    </row>
    <row r="8" spans="1:12" ht="15" customHeight="1" x14ac:dyDescent="0.25">
      <c r="A8" s="4" t="s">
        <v>6</v>
      </c>
      <c r="B8" s="4">
        <v>33</v>
      </c>
      <c r="C8" s="4" t="s">
        <v>20</v>
      </c>
      <c r="D8" s="4">
        <v>6</v>
      </c>
      <c r="E8" s="5">
        <v>1410</v>
      </c>
      <c r="F8" s="6"/>
      <c r="G8" s="13" t="s">
        <v>30</v>
      </c>
      <c r="H8" s="10"/>
      <c r="I8" s="22"/>
      <c r="J8" s="22"/>
      <c r="K8" s="22"/>
      <c r="L8" s="21"/>
    </row>
    <row r="9" spans="1:12" ht="15" customHeight="1" x14ac:dyDescent="0.25">
      <c r="A9" s="4" t="s">
        <v>7</v>
      </c>
      <c r="B9" s="4">
        <v>36</v>
      </c>
      <c r="C9" s="4" t="s">
        <v>25</v>
      </c>
      <c r="D9" s="4">
        <v>7</v>
      </c>
      <c r="E9" s="5">
        <v>1380</v>
      </c>
      <c r="F9" s="6"/>
      <c r="G9" s="17" t="s">
        <v>31</v>
      </c>
      <c r="H9" s="18"/>
      <c r="I9" s="22"/>
      <c r="J9" s="22"/>
      <c r="K9" s="22"/>
      <c r="L9" s="21"/>
    </row>
    <row r="10" spans="1:12" ht="15" customHeight="1" x14ac:dyDescent="0.25">
      <c r="A10" s="4" t="s">
        <v>8</v>
      </c>
      <c r="B10" s="4">
        <v>31</v>
      </c>
      <c r="C10" s="4" t="s">
        <v>25</v>
      </c>
      <c r="D10" s="4">
        <v>5</v>
      </c>
      <c r="E10" s="5">
        <v>1040</v>
      </c>
      <c r="F10" s="6"/>
      <c r="G10" s="13" t="s">
        <v>32</v>
      </c>
      <c r="H10" s="10"/>
      <c r="I10" s="22"/>
      <c r="J10" s="22"/>
      <c r="K10" s="22"/>
      <c r="L10" s="21"/>
    </row>
    <row r="11" spans="1:12" ht="15" customHeight="1" x14ac:dyDescent="0.25">
      <c r="A11" s="4" t="s">
        <v>9</v>
      </c>
      <c r="B11" s="4">
        <v>31</v>
      </c>
      <c r="C11" s="4" t="s">
        <v>24</v>
      </c>
      <c r="D11" s="4">
        <v>8</v>
      </c>
      <c r="E11" s="5">
        <v>1580</v>
      </c>
      <c r="F11" s="6"/>
      <c r="G11" s="15" t="s">
        <v>33</v>
      </c>
      <c r="H11" s="16"/>
      <c r="I11" s="22"/>
      <c r="J11" s="22"/>
      <c r="K11" s="22"/>
      <c r="L11" s="21"/>
    </row>
    <row r="12" spans="1:12" ht="15" customHeight="1" x14ac:dyDescent="0.25">
      <c r="A12" s="4" t="s">
        <v>10</v>
      </c>
      <c r="B12" s="4">
        <v>45</v>
      </c>
      <c r="C12" s="4" t="s">
        <v>22</v>
      </c>
      <c r="D12" s="4">
        <v>8</v>
      </c>
      <c r="E12" s="5">
        <v>1870</v>
      </c>
      <c r="F12" s="6"/>
      <c r="G12" s="12" t="s">
        <v>34</v>
      </c>
      <c r="H12" s="11"/>
      <c r="I12" s="22"/>
      <c r="J12" s="22"/>
      <c r="K12" s="22"/>
      <c r="L12" s="21"/>
    </row>
    <row r="13" spans="1:12" ht="15" customHeight="1" x14ac:dyDescent="0.25">
      <c r="A13" s="4" t="s">
        <v>11</v>
      </c>
      <c r="B13" s="4">
        <v>48</v>
      </c>
      <c r="C13" s="4" t="s">
        <v>25</v>
      </c>
      <c r="D13" s="4">
        <v>8</v>
      </c>
      <c r="E13" s="5">
        <v>1440</v>
      </c>
      <c r="F13" s="6"/>
      <c r="G13" s="17" t="s">
        <v>35</v>
      </c>
      <c r="H13" s="18"/>
      <c r="I13" s="22"/>
      <c r="J13" s="22"/>
      <c r="K13" s="22"/>
      <c r="L13" s="21"/>
    </row>
    <row r="14" spans="1:12" x14ac:dyDescent="0.25">
      <c r="A14" s="4" t="s">
        <v>12</v>
      </c>
      <c r="B14" s="4">
        <v>40</v>
      </c>
      <c r="C14" s="4" t="s">
        <v>22</v>
      </c>
      <c r="D14" s="4">
        <v>6</v>
      </c>
      <c r="E14" s="5">
        <v>1640</v>
      </c>
      <c r="F14" s="6"/>
      <c r="G14" s="14" t="s">
        <v>36</v>
      </c>
      <c r="H14" s="11"/>
      <c r="I14" s="21"/>
      <c r="J14" s="21"/>
      <c r="K14" s="21"/>
      <c r="L14" s="21"/>
    </row>
    <row r="15" spans="1:12" x14ac:dyDescent="0.25">
      <c r="A15" s="4" t="s">
        <v>13</v>
      </c>
      <c r="B15" s="4">
        <v>38</v>
      </c>
      <c r="C15" s="4" t="s">
        <v>24</v>
      </c>
      <c r="D15" s="4">
        <v>5</v>
      </c>
      <c r="E15" s="5">
        <v>1060</v>
      </c>
      <c r="F15" s="6"/>
      <c r="G15" s="17" t="s">
        <v>37</v>
      </c>
      <c r="H15" s="19"/>
      <c r="I15" s="21"/>
      <c r="J15" s="21"/>
      <c r="K15" s="21"/>
      <c r="L15" s="21"/>
    </row>
    <row r="16" spans="1:12" x14ac:dyDescent="0.25">
      <c r="A16" s="4" t="s">
        <v>14</v>
      </c>
      <c r="B16" s="4">
        <v>45</v>
      </c>
      <c r="C16" s="4" t="s">
        <v>20</v>
      </c>
      <c r="D16" s="4">
        <v>6</v>
      </c>
      <c r="E16" s="5">
        <v>1190</v>
      </c>
      <c r="F16" s="6"/>
      <c r="G16" s="12" t="s">
        <v>38</v>
      </c>
      <c r="H16" s="11"/>
      <c r="I16" s="21"/>
      <c r="J16" s="21"/>
      <c r="K16" s="21"/>
      <c r="L16" s="21"/>
    </row>
    <row r="17" spans="1:12" x14ac:dyDescent="0.25">
      <c r="A17" s="4" t="s">
        <v>15</v>
      </c>
      <c r="B17" s="4">
        <v>33</v>
      </c>
      <c r="C17" s="4" t="s">
        <v>22</v>
      </c>
      <c r="D17" s="4">
        <v>8</v>
      </c>
      <c r="E17" s="5">
        <v>1460</v>
      </c>
      <c r="F17" s="6"/>
      <c r="G17" s="21"/>
      <c r="H17" s="21"/>
      <c r="I17" s="21"/>
      <c r="J17" s="21"/>
      <c r="K17" s="21"/>
      <c r="L17" s="21"/>
    </row>
    <row r="18" spans="1:12" x14ac:dyDescent="0.25">
      <c r="A18" s="4" t="s">
        <v>16</v>
      </c>
      <c r="B18" s="4">
        <v>42</v>
      </c>
      <c r="C18" s="4" t="s">
        <v>23</v>
      </c>
      <c r="D18" s="4">
        <v>8</v>
      </c>
      <c r="E18" s="5">
        <v>1370</v>
      </c>
      <c r="F18" s="6"/>
      <c r="G18" s="21"/>
      <c r="H18" s="21"/>
      <c r="I18" s="21"/>
      <c r="J18" s="21"/>
      <c r="K18" s="21"/>
      <c r="L18" s="21"/>
    </row>
    <row r="19" spans="1:12" x14ac:dyDescent="0.25">
      <c r="A19" s="4" t="s">
        <v>17</v>
      </c>
      <c r="B19" s="4">
        <v>42</v>
      </c>
      <c r="C19" s="4" t="s">
        <v>21</v>
      </c>
      <c r="D19" s="4">
        <v>5</v>
      </c>
      <c r="E19" s="5">
        <v>1440</v>
      </c>
      <c r="F19" s="6"/>
    </row>
    <row r="20" spans="1:12" x14ac:dyDescent="0.25">
      <c r="A20" s="4" t="s">
        <v>18</v>
      </c>
      <c r="B20" s="4">
        <v>34</v>
      </c>
      <c r="C20" s="4" t="s">
        <v>20</v>
      </c>
      <c r="D20" s="4">
        <v>6</v>
      </c>
      <c r="E20" s="5">
        <v>1040</v>
      </c>
      <c r="F20" s="6"/>
    </row>
  </sheetData>
  <hyperlinks>
    <hyperlink ref="B2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>
      <selection activeCell="G10" sqref="G10"/>
    </sheetView>
  </sheetViews>
  <sheetFormatPr baseColWidth="10" defaultColWidth="11.42578125" defaultRowHeight="15" x14ac:dyDescent="0.25"/>
  <cols>
    <col min="2" max="2" width="13.42578125" customWidth="1"/>
    <col min="3" max="3" width="15.85546875" customWidth="1"/>
    <col min="4" max="4" width="14.5703125" customWidth="1"/>
    <col min="5" max="5" width="14.28515625" customWidth="1"/>
    <col min="6" max="6" width="5.28515625" customWidth="1"/>
    <col min="7" max="7" width="87" customWidth="1"/>
  </cols>
  <sheetData>
    <row r="1" spans="1:8" ht="26.25" x14ac:dyDescent="0.4">
      <c r="B1" s="1" t="s">
        <v>19</v>
      </c>
    </row>
    <row r="2" spans="1:8" x14ac:dyDescent="0.25">
      <c r="B2" s="2" t="s">
        <v>0</v>
      </c>
    </row>
    <row r="4" spans="1:8" ht="18.75" x14ac:dyDescent="0.3">
      <c r="G4" s="20" t="s">
        <v>41</v>
      </c>
      <c r="H4" s="20"/>
    </row>
    <row r="5" spans="1:8" x14ac:dyDescent="0.25">
      <c r="A5" s="7" t="s">
        <v>3</v>
      </c>
      <c r="B5" s="8" t="s">
        <v>1</v>
      </c>
      <c r="C5" s="8" t="s">
        <v>2</v>
      </c>
      <c r="D5" s="8" t="s">
        <v>26</v>
      </c>
      <c r="E5" s="9" t="s">
        <v>27</v>
      </c>
      <c r="F5" s="3"/>
      <c r="G5" s="9" t="s">
        <v>39</v>
      </c>
      <c r="H5" s="9" t="s">
        <v>40</v>
      </c>
    </row>
    <row r="6" spans="1:8" x14ac:dyDescent="0.25">
      <c r="A6" s="4" t="s">
        <v>4</v>
      </c>
      <c r="B6" s="4">
        <v>50</v>
      </c>
      <c r="C6" s="4" t="s">
        <v>20</v>
      </c>
      <c r="D6" s="4">
        <v>7</v>
      </c>
      <c r="E6" s="5">
        <v>1050</v>
      </c>
      <c r="F6" s="6"/>
      <c r="G6" s="12" t="s">
        <v>28</v>
      </c>
      <c r="H6" s="10">
        <f>COUNT(B6:B20)</f>
        <v>15</v>
      </c>
    </row>
    <row r="7" spans="1:8" x14ac:dyDescent="0.25">
      <c r="A7" s="4" t="s">
        <v>5</v>
      </c>
      <c r="B7" s="4">
        <v>49</v>
      </c>
      <c r="C7" s="4" t="s">
        <v>22</v>
      </c>
      <c r="D7" s="4">
        <v>6</v>
      </c>
      <c r="E7" s="5">
        <v>1830</v>
      </c>
      <c r="F7" s="6"/>
      <c r="G7" s="15" t="s">
        <v>29</v>
      </c>
      <c r="H7" s="16">
        <f>AVERAGE(B6:B20)</f>
        <v>39.799999999999997</v>
      </c>
    </row>
    <row r="8" spans="1:8" x14ac:dyDescent="0.25">
      <c r="A8" s="4" t="s">
        <v>6</v>
      </c>
      <c r="B8" s="4">
        <v>33</v>
      </c>
      <c r="C8" s="4" t="s">
        <v>20</v>
      </c>
      <c r="D8" s="4">
        <v>6</v>
      </c>
      <c r="E8" s="5">
        <v>1410</v>
      </c>
      <c r="F8" s="6"/>
      <c r="G8" s="13" t="s">
        <v>30</v>
      </c>
      <c r="H8" s="10">
        <f>AVERAGE(D6:D20)</f>
        <v>6.6</v>
      </c>
    </row>
    <row r="9" spans="1:8" x14ac:dyDescent="0.25">
      <c r="A9" s="4" t="s">
        <v>7</v>
      </c>
      <c r="B9" s="4">
        <v>36</v>
      </c>
      <c r="C9" s="4" t="s">
        <v>25</v>
      </c>
      <c r="D9" s="4">
        <v>7</v>
      </c>
      <c r="E9" s="5">
        <v>1380</v>
      </c>
      <c r="F9" s="6"/>
      <c r="G9" s="17" t="s">
        <v>31</v>
      </c>
      <c r="H9" s="18">
        <f>+SUM(E6:E20)</f>
        <v>20800</v>
      </c>
    </row>
    <row r="10" spans="1:8" x14ac:dyDescent="0.25">
      <c r="A10" s="4" t="s">
        <v>8</v>
      </c>
      <c r="B10" s="4">
        <v>31</v>
      </c>
      <c r="C10" s="4" t="s">
        <v>25</v>
      </c>
      <c r="D10" s="4">
        <v>5</v>
      </c>
      <c r="E10" s="5">
        <v>1040</v>
      </c>
      <c r="F10" s="6"/>
      <c r="G10" s="13" t="s">
        <v>32</v>
      </c>
      <c r="H10" s="10">
        <f>+COUNTIF(C6:C20,"Dept1")</f>
        <v>4</v>
      </c>
    </row>
    <row r="11" spans="1:8" x14ac:dyDescent="0.25">
      <c r="A11" s="4" t="s">
        <v>9</v>
      </c>
      <c r="B11" s="4">
        <v>31</v>
      </c>
      <c r="C11" s="4" t="s">
        <v>24</v>
      </c>
      <c r="D11" s="4">
        <v>8</v>
      </c>
      <c r="E11" s="5">
        <v>1580</v>
      </c>
      <c r="F11" s="6"/>
      <c r="G11" s="15" t="s">
        <v>33</v>
      </c>
      <c r="H11" s="16">
        <f>+AVERAGEIF(C6:C20,"Dept2",B6:B20)</f>
        <v>42</v>
      </c>
    </row>
    <row r="12" spans="1:8" x14ac:dyDescent="0.25">
      <c r="A12" s="4" t="s">
        <v>10</v>
      </c>
      <c r="B12" s="4">
        <v>45</v>
      </c>
      <c r="C12" s="4" t="s">
        <v>22</v>
      </c>
      <c r="D12" s="4">
        <v>8</v>
      </c>
      <c r="E12" s="5">
        <v>1870</v>
      </c>
      <c r="F12" s="6"/>
      <c r="G12" s="12" t="s">
        <v>34</v>
      </c>
      <c r="H12" s="11">
        <f>SUMIF(C6:C20,"Dept3",E6:E20)</f>
        <v>6800</v>
      </c>
    </row>
    <row r="13" spans="1:8" x14ac:dyDescent="0.25">
      <c r="A13" s="4" t="s">
        <v>11</v>
      </c>
      <c r="B13" s="4">
        <v>48</v>
      </c>
      <c r="C13" s="4" t="s">
        <v>25</v>
      </c>
      <c r="D13" s="4">
        <v>8</v>
      </c>
      <c r="E13" s="5">
        <v>1440</v>
      </c>
      <c r="F13" s="6"/>
      <c r="G13" s="17" t="s">
        <v>35</v>
      </c>
      <c r="H13" s="18">
        <f>SUMIF(C6:C20,"Dept4",E6:E20)+SUMIF(C6:C20,"Dept5",E6:E20)</f>
        <v>4010</v>
      </c>
    </row>
    <row r="14" spans="1:8" x14ac:dyDescent="0.25">
      <c r="A14" s="4" t="s">
        <v>12</v>
      </c>
      <c r="B14" s="4">
        <v>40</v>
      </c>
      <c r="C14" s="4" t="s">
        <v>22</v>
      </c>
      <c r="D14" s="4">
        <v>6</v>
      </c>
      <c r="E14" s="5">
        <v>1640</v>
      </c>
      <c r="F14" s="6"/>
      <c r="G14" s="14" t="s">
        <v>36</v>
      </c>
      <c r="H14" s="11">
        <f>AVERAGEIF(B6:B20,"&gt;40",E6:E20)</f>
        <v>1455.7142857142858</v>
      </c>
    </row>
    <row r="15" spans="1:8" x14ac:dyDescent="0.25">
      <c r="A15" s="4" t="s">
        <v>13</v>
      </c>
      <c r="B15" s="4">
        <v>38</v>
      </c>
      <c r="C15" s="4" t="s">
        <v>24</v>
      </c>
      <c r="D15" s="4">
        <v>5</v>
      </c>
      <c r="E15" s="5">
        <v>1060</v>
      </c>
      <c r="F15" s="6"/>
      <c r="G15" s="17" t="s">
        <v>37</v>
      </c>
      <c r="H15" s="19">
        <f>AVERAGEIF(E6:E20,"&gt;1500",D6:D20)</f>
        <v>7</v>
      </c>
    </row>
    <row r="16" spans="1:8" x14ac:dyDescent="0.25">
      <c r="A16" s="4" t="s">
        <v>14</v>
      </c>
      <c r="B16" s="4">
        <v>45</v>
      </c>
      <c r="C16" s="4" t="s">
        <v>20</v>
      </c>
      <c r="D16" s="4">
        <v>6</v>
      </c>
      <c r="E16" s="5">
        <v>1190</v>
      </c>
      <c r="F16" s="6"/>
      <c r="G16" s="12" t="s">
        <v>38</v>
      </c>
      <c r="H16" s="11">
        <f>SUMIF(E6:E20,"&gt;1200")</f>
        <v>15420</v>
      </c>
    </row>
    <row r="17" spans="1:6" x14ac:dyDescent="0.25">
      <c r="A17" s="4" t="s">
        <v>15</v>
      </c>
      <c r="B17" s="4">
        <v>33</v>
      </c>
      <c r="C17" s="4" t="s">
        <v>22</v>
      </c>
      <c r="D17" s="4">
        <v>8</v>
      </c>
      <c r="E17" s="5">
        <v>1460</v>
      </c>
      <c r="F17" s="6"/>
    </row>
    <row r="18" spans="1:6" x14ac:dyDescent="0.25">
      <c r="A18" s="4" t="s">
        <v>16</v>
      </c>
      <c r="B18" s="4">
        <v>42</v>
      </c>
      <c r="C18" s="4" t="s">
        <v>23</v>
      </c>
      <c r="D18" s="4">
        <v>8</v>
      </c>
      <c r="E18" s="5">
        <v>1370</v>
      </c>
      <c r="F18" s="6"/>
    </row>
    <row r="19" spans="1:6" x14ac:dyDescent="0.25">
      <c r="A19" s="4" t="s">
        <v>17</v>
      </c>
      <c r="B19" s="4">
        <v>42</v>
      </c>
      <c r="C19" s="4" t="s">
        <v>21</v>
      </c>
      <c r="D19" s="4">
        <v>5</v>
      </c>
      <c r="E19" s="5">
        <v>1440</v>
      </c>
      <c r="F19" s="6"/>
    </row>
    <row r="20" spans="1:6" x14ac:dyDescent="0.25">
      <c r="A20" s="4" t="s">
        <v>18</v>
      </c>
      <c r="B20" s="4">
        <v>34</v>
      </c>
      <c r="C20" s="4" t="s">
        <v>20</v>
      </c>
      <c r="D20" s="4">
        <v>6</v>
      </c>
      <c r="E20" s="5">
        <v>1040</v>
      </c>
      <c r="F20" s="6"/>
    </row>
  </sheetData>
  <mergeCells count="1">
    <mergeCell ref="G4:H4"/>
  </mergeCells>
  <hyperlinks>
    <hyperlink ref="B2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Enunciado</vt:lpstr>
      <vt:lpstr>Resultados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Arranz, Enrique</dc:creator>
  <cp:lastModifiedBy>Familia</cp:lastModifiedBy>
  <dcterms:created xsi:type="dcterms:W3CDTF">2015-04-06T07:21:09Z</dcterms:created>
  <dcterms:modified xsi:type="dcterms:W3CDTF">2016-03-08T17:08:37Z</dcterms:modified>
</cp:coreProperties>
</file>