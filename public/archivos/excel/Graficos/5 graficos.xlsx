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wnloads\Excel\"/>
    </mc:Choice>
  </mc:AlternateContent>
  <xr:revisionPtr revIDLastSave="0" documentId="13_ncr:1_{F451C54B-8927-40C3-839B-8BE593E687D6}" xr6:coauthVersionLast="47" xr6:coauthVersionMax="47" xr10:uidLastSave="{00000000-0000-0000-0000-000000000000}"/>
  <bookViews>
    <workbookView xWindow="-108" yWindow="-108" windowWidth="19416" windowHeight="10416" activeTab="2" xr2:uid="{8DAC7F85-6114-466A-8C52-858797F37C07}"/>
  </bookViews>
  <sheets>
    <sheet name="Grafico 1" sheetId="1" r:id="rId1"/>
    <sheet name="Grafico 3" sheetId="5" r:id="rId2"/>
    <sheet name="Grafico 4" sheetId="6" r:id="rId3"/>
    <sheet name="Grafico 5" sheetId="2" r:id="rId4"/>
    <sheet name="Grafico 6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5" l="1"/>
  <c r="F14" i="5" s="1"/>
  <c r="K8" i="4"/>
  <c r="K7" i="4"/>
  <c r="L7" i="4" s="1"/>
  <c r="M7" i="4" s="1"/>
  <c r="K6" i="4"/>
  <c r="K5" i="4"/>
  <c r="L5" i="4" s="1"/>
  <c r="M5" i="4" s="1"/>
  <c r="L8" i="4"/>
  <c r="M8" i="4" s="1"/>
  <c r="L6" i="4"/>
  <c r="M6" i="4" s="1"/>
  <c r="H6" i="4"/>
  <c r="I6" i="4" s="1"/>
  <c r="H7" i="4"/>
  <c r="I7" i="4" s="1"/>
  <c r="H8" i="4"/>
  <c r="I8" i="4" s="1"/>
  <c r="H5" i="4"/>
  <c r="I5" i="4" s="1"/>
  <c r="E12" i="5" l="1"/>
  <c r="E11" i="5"/>
  <c r="E10" i="5"/>
  <c r="E9" i="5"/>
  <c r="E8" i="5"/>
  <c r="E7" i="5"/>
  <c r="B7" i="5"/>
  <c r="B8" i="5" s="1"/>
  <c r="B9" i="5" s="1"/>
  <c r="B10" i="5" s="1"/>
  <c r="B11" i="5" s="1"/>
  <c r="B12" i="5" s="1"/>
  <c r="E6" i="5"/>
  <c r="E10" i="2"/>
  <c r="E9" i="2"/>
  <c r="E8" i="2"/>
  <c r="E7" i="2"/>
  <c r="E6" i="2"/>
  <c r="E5" i="2"/>
  <c r="E4" i="2"/>
  <c r="B5" i="2"/>
  <c r="B6" i="2" s="1"/>
  <c r="B7" i="2" s="1"/>
  <c r="B8" i="2" s="1"/>
  <c r="B9" i="2" s="1"/>
  <c r="B10" i="2" s="1"/>
  <c r="B7" i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<sst xmlns="http://schemas.openxmlformats.org/spreadsheetml/2006/main" count="44" uniqueCount="32">
  <si>
    <t>Mes</t>
  </si>
  <si>
    <t>Venta Real</t>
  </si>
  <si>
    <t>Total</t>
  </si>
  <si>
    <t>Pedidos</t>
  </si>
  <si>
    <t>Enviados</t>
  </si>
  <si>
    <t>% Enviados</t>
  </si>
  <si>
    <t>Objetivo</t>
  </si>
  <si>
    <t>Area</t>
  </si>
  <si>
    <t>Moda</t>
  </si>
  <si>
    <t>Hogar</t>
  </si>
  <si>
    <t>SUR</t>
  </si>
  <si>
    <t>ESTE</t>
  </si>
  <si>
    <t>NORTE</t>
  </si>
  <si>
    <t>OESTE</t>
  </si>
  <si>
    <t>Margen</t>
  </si>
  <si>
    <t>Nº Art</t>
  </si>
  <si>
    <t>Coste</t>
  </si>
  <si>
    <t>Indice Pedidos Procesados</t>
  </si>
  <si>
    <t>Ventas Moda</t>
  </si>
  <si>
    <t>Ventas Hogar</t>
  </si>
  <si>
    <t>VENTAS 2 SEMESTRE</t>
  </si>
  <si>
    <t>Meta VENTAS ($):</t>
  </si>
  <si>
    <t>SUCURSAL</t>
  </si>
  <si>
    <t>VENTAS ($)</t>
  </si>
  <si>
    <t>Bogotá</t>
  </si>
  <si>
    <t>Cali</t>
  </si>
  <si>
    <t>Medellín</t>
  </si>
  <si>
    <t>Brasilia</t>
  </si>
  <si>
    <t>Sao Paulo</t>
  </si>
  <si>
    <t>Caracas</t>
  </si>
  <si>
    <t>Maracaibo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</si>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</sst>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B/.&quot;* #,##0.00_-;\-&quot;B/.&quot;* #,##0.00_-;_-&quot;B/.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6" borderId="0" applyNumberFormat="0" applyBorder="0" applyAlignment="0" applyProtection="0"/>
  </cellStyleXfs>
  <cellXfs count="62">
    <xf numFmtId="0" fontId="0" fillId="0" borderId="0" xfId="0"/>
    <xf numFmtId="0" fontId="0" fillId="2" borderId="0" xfId="0" applyFill="1"/>
    <xf numFmtId="17" fontId="0" fillId="2" borderId="1" xfId="0" applyNumberFormat="1" applyFill="1" applyBorder="1" applyAlignment="1">
      <alignment horizontal="center"/>
    </xf>
    <xf numFmtId="4" fontId="0" fillId="0" borderId="2" xfId="0" applyNumberFormat="1" applyBorder="1"/>
    <xf numFmtId="17" fontId="0" fillId="2" borderId="4" xfId="0" applyNumberFormat="1" applyFill="1" applyBorder="1" applyAlignment="1">
      <alignment horizontal="center"/>
    </xf>
    <xf numFmtId="4" fontId="0" fillId="0" borderId="0" xfId="0" applyNumberFormat="1"/>
    <xf numFmtId="17" fontId="0" fillId="2" borderId="6" xfId="0" applyNumberFormat="1" applyFill="1" applyBorder="1" applyAlignment="1">
      <alignment horizontal="center"/>
    </xf>
    <xf numFmtId="4" fontId="0" fillId="0" borderId="7" xfId="0" applyNumberFormat="1" applyBorder="1"/>
    <xf numFmtId="4" fontId="0" fillId="5" borderId="3" xfId="0" applyNumberFormat="1" applyFill="1" applyBorder="1"/>
    <xf numFmtId="4" fontId="0" fillId="5" borderId="5" xfId="0" applyNumberFormat="1" applyFill="1" applyBorder="1"/>
    <xf numFmtId="4" fontId="0" fillId="5" borderId="8" xfId="0" applyNumberFormat="1" applyFill="1" applyBorder="1"/>
    <xf numFmtId="0" fontId="2" fillId="3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5" borderId="3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5" borderId="5" xfId="0" applyNumberForma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5" borderId="8" xfId="0" applyNumberFormat="1" applyFill="1" applyBorder="1" applyAlignment="1">
      <alignment horizontal="center"/>
    </xf>
    <xf numFmtId="9" fontId="0" fillId="5" borderId="3" xfId="1" applyFont="1" applyFill="1" applyBorder="1" applyAlignment="1">
      <alignment horizontal="center"/>
    </xf>
    <xf numFmtId="9" fontId="0" fillId="5" borderId="5" xfId="1" applyFont="1" applyFill="1" applyBorder="1" applyAlignment="1">
      <alignment horizontal="center"/>
    </xf>
    <xf numFmtId="9" fontId="0" fillId="5" borderId="8" xfId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3" fontId="4" fillId="5" borderId="3" xfId="0" applyNumberFormat="1" applyFont="1" applyFill="1" applyBorder="1"/>
    <xf numFmtId="17" fontId="4" fillId="2" borderId="4" xfId="0" applyNumberFormat="1" applyFont="1" applyFill="1" applyBorder="1" applyAlignment="1">
      <alignment horizontal="center"/>
    </xf>
    <xf numFmtId="3" fontId="4" fillId="5" borderId="5" xfId="0" applyNumberFormat="1" applyFont="1" applyFill="1" applyBorder="1"/>
    <xf numFmtId="17" fontId="4" fillId="2" borderId="6" xfId="0" applyNumberFormat="1" applyFont="1" applyFill="1" applyBorder="1" applyAlignment="1">
      <alignment horizontal="center"/>
    </xf>
    <xf numFmtId="3" fontId="4" fillId="5" borderId="8" xfId="0" applyNumberFormat="1" applyFont="1" applyFill="1" applyBorder="1"/>
    <xf numFmtId="17" fontId="4" fillId="2" borderId="12" xfId="0" applyNumberFormat="1" applyFont="1" applyFill="1" applyBorder="1" applyAlignment="1">
      <alignment horizontal="center"/>
    </xf>
    <xf numFmtId="3" fontId="4" fillId="0" borderId="3" xfId="0" applyNumberFormat="1" applyFont="1" applyBorder="1"/>
    <xf numFmtId="3" fontId="4" fillId="0" borderId="12" xfId="0" applyNumberFormat="1" applyFont="1" applyBorder="1"/>
    <xf numFmtId="17" fontId="4" fillId="2" borderId="13" xfId="0" applyNumberFormat="1" applyFont="1" applyFill="1" applyBorder="1" applyAlignment="1">
      <alignment horizontal="center"/>
    </xf>
    <xf numFmtId="3" fontId="4" fillId="0" borderId="5" xfId="0" applyNumberFormat="1" applyFont="1" applyBorder="1"/>
    <xf numFmtId="3" fontId="4" fillId="0" borderId="13" xfId="0" applyNumberFormat="1" applyFont="1" applyBorder="1"/>
    <xf numFmtId="17" fontId="4" fillId="2" borderId="14" xfId="0" applyNumberFormat="1" applyFont="1" applyFill="1" applyBorder="1" applyAlignment="1">
      <alignment horizontal="center"/>
    </xf>
    <xf numFmtId="3" fontId="4" fillId="0" borderId="8" xfId="0" applyNumberFormat="1" applyFont="1" applyBorder="1"/>
    <xf numFmtId="3" fontId="4" fillId="0" borderId="14" xfId="0" applyNumberFormat="1" applyFont="1" applyBorder="1"/>
    <xf numFmtId="9" fontId="0" fillId="5" borderId="0" xfId="1" applyFont="1" applyFill="1" applyBorder="1" applyAlignment="1">
      <alignment horizontal="center"/>
    </xf>
    <xf numFmtId="9" fontId="0" fillId="0" borderId="0" xfId="0" applyNumberFormat="1"/>
    <xf numFmtId="0" fontId="5" fillId="0" borderId="15" xfId="0" applyFont="1" applyBorder="1"/>
    <xf numFmtId="0" fontId="6" fillId="3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17" fontId="7" fillId="2" borderId="1" xfId="0" applyNumberFormat="1" applyFont="1" applyFill="1" applyBorder="1" applyAlignment="1">
      <alignment horizontal="center"/>
    </xf>
    <xf numFmtId="17" fontId="7" fillId="2" borderId="4" xfId="0" applyNumberFormat="1" applyFont="1" applyFill="1" applyBorder="1" applyAlignment="1">
      <alignment horizontal="center"/>
    </xf>
    <xf numFmtId="17" fontId="7" fillId="2" borderId="6" xfId="0" applyNumberFormat="1" applyFont="1" applyFill="1" applyBorder="1" applyAlignment="1">
      <alignment horizontal="center"/>
    </xf>
    <xf numFmtId="17" fontId="4" fillId="2" borderId="12" xfId="0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/>
    </xf>
    <xf numFmtId="3" fontId="7" fillId="5" borderId="3" xfId="0" applyNumberFormat="1" applyFont="1" applyFill="1" applyBorder="1" applyAlignment="1">
      <alignment horizontal="center"/>
    </xf>
    <xf numFmtId="9" fontId="7" fillId="5" borderId="3" xfId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5" borderId="5" xfId="0" applyNumberFormat="1" applyFont="1" applyFill="1" applyBorder="1" applyAlignment="1">
      <alignment horizontal="center"/>
    </xf>
    <xf numFmtId="9" fontId="7" fillId="5" borderId="5" xfId="1" applyFont="1" applyFill="1" applyBorder="1" applyAlignment="1">
      <alignment horizontal="center"/>
    </xf>
    <xf numFmtId="3" fontId="7" fillId="0" borderId="7" xfId="0" applyNumberFormat="1" applyFont="1" applyBorder="1" applyAlignment="1">
      <alignment horizontal="center"/>
    </xf>
    <xf numFmtId="3" fontId="7" fillId="5" borderId="8" xfId="0" applyNumberFormat="1" applyFont="1" applyFill="1" applyBorder="1" applyAlignment="1">
      <alignment horizontal="center"/>
    </xf>
    <xf numFmtId="9" fontId="7" fillId="5" borderId="8" xfId="1" applyFont="1" applyFill="1" applyBorder="1" applyAlignment="1">
      <alignment horizontal="center"/>
    </xf>
    <xf numFmtId="0" fontId="5" fillId="0" borderId="0" xfId="0" applyFont="1" applyAlignment="1">
      <alignment horizontal="right" vertical="center"/>
    </xf>
    <xf numFmtId="43" fontId="8" fillId="7" borderId="0" xfId="4" applyNumberFormat="1" applyFont="1" applyFill="1" applyAlignment="1">
      <alignment horizontal="center" vertical="center"/>
    </xf>
    <xf numFmtId="17" fontId="0" fillId="0" borderId="0" xfId="0" applyNumberFormat="1" applyAlignment="1">
      <alignment horizontal="left"/>
    </xf>
    <xf numFmtId="43" fontId="0" fillId="0" borderId="0" xfId="3" applyFont="1"/>
  </cellXfs>
  <cellStyles count="5">
    <cellStyle name="Énfasis6" xfId="4" builtinId="49"/>
    <cellStyle name="Millares" xfId="3" builtinId="3"/>
    <cellStyle name="Moneda 2" xfId="2" xr:uid="{C98B31F6-5019-4C6C-8F79-4B8AD3588CA0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27F9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'Grafico 1'!$B$3:$D$3</c:f>
          <c:strCache>
            <c:ptCount val="3"/>
            <c:pt idx="0">
              <c:v>VENTAS 2 SEMESTRE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1'!$C$5</c:f>
              <c:strCache>
                <c:ptCount val="1"/>
                <c:pt idx="0">
                  <c:v>Venta 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'Grafico 1'!$B$6:$B$12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1'!$C$6:$C$12</c:f>
              <c:numCache>
                <c:formatCode>#,##0.00</c:formatCode>
                <c:ptCount val="7"/>
                <c:pt idx="0">
                  <c:v>3218404</c:v>
                </c:pt>
                <c:pt idx="1">
                  <c:v>4382168</c:v>
                </c:pt>
                <c:pt idx="2">
                  <c:v>4452297</c:v>
                </c:pt>
                <c:pt idx="3">
                  <c:v>4492639</c:v>
                </c:pt>
                <c:pt idx="4">
                  <c:v>4504307</c:v>
                </c:pt>
                <c:pt idx="5">
                  <c:v>3874883</c:v>
                </c:pt>
                <c:pt idx="6">
                  <c:v>4952283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6-4853-ABE0-FD0D0D6790D8}"/>
            </c:ext>
          </c:extLst>
        </c:ser>
        <c:ser>
          <c:idx val="1"/>
          <c:order val="1"/>
          <c:tx>
            <c:strRef>
              <c:f>'Grafico 1'!$D$5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'Grafico 1'!$B$6:$B$12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1'!$D$6:$D$12</c:f>
              <c:numCache>
                <c:formatCode>#,##0.00</c:formatCode>
                <c:ptCount val="7"/>
                <c:pt idx="0">
                  <c:v>2591824</c:v>
                </c:pt>
                <c:pt idx="1">
                  <c:v>4517920</c:v>
                </c:pt>
                <c:pt idx="2">
                  <c:v>3715634</c:v>
                </c:pt>
                <c:pt idx="3">
                  <c:v>3084384</c:v>
                </c:pt>
                <c:pt idx="4">
                  <c:v>3226417</c:v>
                </c:pt>
                <c:pt idx="5">
                  <c:v>4690421</c:v>
                </c:pt>
                <c:pt idx="6">
                  <c:v>4810550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6-4853-ABE0-FD0D0D679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342272"/>
        <c:axId val="595345152"/>
      </c:lineChart>
      <c:dateAx>
        <c:axId val="595342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5345152"/>
        <c:crosses val="autoZero"/>
        <c:auto val="1"/>
        <c:lblOffset val="100"/>
        <c:baseTimeUnit val="months"/>
      </c:dateAx>
      <c:valAx>
        <c:axId val="5953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53422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222222222222223E-2"/>
                <c:y val="0.34300925925925929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'Grafico 1'!$B$3</c:f>
          <c:strCache>
            <c:ptCount val="1"/>
            <c:pt idx="0">
              <c:v>VENTAS 2 SEMESTRE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1'!$C$5</c:f>
              <c:strCache>
                <c:ptCount val="1"/>
                <c:pt idx="0">
                  <c:v>Venta 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'Grafico 1'!$B$6:$B$12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1'!$C$6:$C$12</c:f>
              <c:numCache>
                <c:formatCode>#,##0.00</c:formatCode>
                <c:ptCount val="7"/>
                <c:pt idx="0">
                  <c:v>3218404</c:v>
                </c:pt>
                <c:pt idx="1">
                  <c:v>4382168</c:v>
                </c:pt>
                <c:pt idx="2">
                  <c:v>4452297</c:v>
                </c:pt>
                <c:pt idx="3">
                  <c:v>4492639</c:v>
                </c:pt>
                <c:pt idx="4">
                  <c:v>4504307</c:v>
                </c:pt>
                <c:pt idx="5">
                  <c:v>3874883</c:v>
                </c:pt>
                <c:pt idx="6">
                  <c:v>4952283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F-4B2C-9DB4-EB4474BB07E3}"/>
            </c:ext>
          </c:extLst>
        </c:ser>
        <c:ser>
          <c:idx val="1"/>
          <c:order val="1"/>
          <c:tx>
            <c:strRef>
              <c:f>'Grafico 1'!$D$5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'Grafico 1'!$B$6:$B$12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1'!$D$6:$D$12</c:f>
              <c:numCache>
                <c:formatCode>#,##0.00</c:formatCode>
                <c:ptCount val="7"/>
                <c:pt idx="0">
                  <c:v>2591824</c:v>
                </c:pt>
                <c:pt idx="1">
                  <c:v>4517920</c:v>
                </c:pt>
                <c:pt idx="2">
                  <c:v>3715634</c:v>
                </c:pt>
                <c:pt idx="3">
                  <c:v>3084384</c:v>
                </c:pt>
                <c:pt idx="4">
                  <c:v>3226417</c:v>
                </c:pt>
                <c:pt idx="5">
                  <c:v>4690421</c:v>
                </c:pt>
                <c:pt idx="6">
                  <c:v>4810550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F-4B2C-9DB4-EB4474BB0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682735"/>
        <c:axId val="1409676911"/>
      </c:lineChart>
      <c:dateAx>
        <c:axId val="1409682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9676911"/>
        <c:crosses val="autoZero"/>
        <c:auto val="1"/>
        <c:lblOffset val="100"/>
        <c:baseTimeUnit val="months"/>
      </c:dateAx>
      <c:valAx>
        <c:axId val="140967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968273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8D-45FC-937E-A118905AE3D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50-4E1F-ABD6-78D9AE9F678E}"/>
              </c:ext>
            </c:extLst>
          </c:dPt>
          <c:val>
            <c:numRef>
              <c:f>'Grafico 3'!$E$14:$F$14</c:f>
              <c:numCache>
                <c:formatCode>0%</c:formatCode>
                <c:ptCount val="2"/>
                <c:pt idx="0">
                  <c:v>0.58943484171683824</c:v>
                </c:pt>
                <c:pt idx="1">
                  <c:v>0.41056515828316176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0-4E1F-ABD6-78D9AE9F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F-4FC5-8C1E-1358111749DA}"/>
              </c:ext>
            </c:extLst>
          </c:dPt>
          <c:val>
            <c:numRef>
              <c:f>'Grafico 3'!$E$14:$F$14</c:f>
              <c:numCache>
                <c:formatCode>0%</c:formatCode>
                <c:ptCount val="2"/>
                <c:pt idx="0">
                  <c:v>0.58943484171683824</c:v>
                </c:pt>
                <c:pt idx="1">
                  <c:v>0.41056515828316176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F-4FC5-8C1E-135811174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[1]Tip!$C$9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[1]Tip!$B$10:$B$17</c:f>
              <c:strCache>
                <c:ptCount val="8"/>
                <c:pt idx="0">
                  <c:v>Bogotá</c:v>
                </c:pt>
                <c:pt idx="1">
                  <c:v>Cali</c:v>
                </c:pt>
                <c:pt idx="2">
                  <c:v>Medellín</c:v>
                </c:pt>
                <c:pt idx="3">
                  <c:v>Brasilia</c:v>
                </c:pt>
                <c:pt idx="4">
                  <c:v>Sao Paulo</c:v>
                </c:pt>
                <c:pt idx="5">
                  <c:v>Caracas</c:v>
                </c:pt>
                <c:pt idx="6">
                  <c:v>Maracaibo</c:v>
                </c:pt>
                <c:pt idx="7">
                  <c:v>Valencia</c:v>
                </c:pt>
              </c:strCache>
            </c:strRef>
          </c:cat>
          <c:val>
            <c:numRef>
              <c:f>[1]Tip!$C$10:$C$17</c:f>
              <c:numCache>
                <c:formatCode>_(* #,##0.00_);_(* \(#,##0.00\);_(* "-"??_);_(@_)</c:formatCode>
                <c:ptCount val="8"/>
                <c:pt idx="0">
                  <c:v>6090.3</c:v>
                </c:pt>
                <c:pt idx="1">
                  <c:v>5070.2</c:v>
                </c:pt>
                <c:pt idx="2">
                  <c:v>4060.2</c:v>
                </c:pt>
                <c:pt idx="3">
                  <c:v>5746.9</c:v>
                </c:pt>
                <c:pt idx="4">
                  <c:v>6352.9</c:v>
                </c:pt>
                <c:pt idx="5">
                  <c:v>4837.8999999999996</c:v>
                </c:pt>
                <c:pt idx="6">
                  <c:v>6666</c:v>
                </c:pt>
                <c:pt idx="7">
                  <c:v>5847.9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5-4E63-8508-C9C384E2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500714495"/>
        <c:axId val="1500708255"/>
      </c:barChart>
      <c:lineChart>
        <c:grouping val="standard"/>
        <c:varyColors val="0"/>
        <c:ser>
          <c:idx val="1"/>
          <c:order val="1"/>
          <c:tx>
            <c:strRef>
              <c:f>[1]Tip!$D$9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[1]Tip!$B$10:$B$17</c:f>
              <c:strCache>
                <c:ptCount val="8"/>
                <c:pt idx="0">
                  <c:v>Bogotá</c:v>
                </c:pt>
                <c:pt idx="1">
                  <c:v>Cali</c:v>
                </c:pt>
                <c:pt idx="2">
                  <c:v>Medellín</c:v>
                </c:pt>
                <c:pt idx="3">
                  <c:v>Brasilia</c:v>
                </c:pt>
                <c:pt idx="4">
                  <c:v>Sao Paulo</c:v>
                </c:pt>
                <c:pt idx="5">
                  <c:v>Caracas</c:v>
                </c:pt>
                <c:pt idx="6">
                  <c:v>Maracaibo</c:v>
                </c:pt>
                <c:pt idx="7">
                  <c:v>Valencia</c:v>
                </c:pt>
              </c:strCache>
            </c:strRef>
          </c:cat>
          <c:val>
            <c:numRef>
              <c:f>[1]Tip!$D$10:$D$17</c:f>
              <c:numCache>
                <c:formatCode>_(* #,##0.00_);_(* \(#,##0.00\);_(* "-"??_);_(@_)</c:formatCode>
                <c:ptCount val="8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5-4E63-8508-C9C384E2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714495"/>
        <c:axId val="1500708255"/>
      </c:lineChart>
      <c:catAx>
        <c:axId val="15007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0708255"/>
        <c:crosses val="autoZero"/>
        <c:auto val="1"/>
        <c:lblAlgn val="ctr"/>
        <c:lblOffset val="100"/>
        <c:noMultiLvlLbl val="0"/>
      </c:catAx>
      <c:valAx>
        <c:axId val="15007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071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5'!$C$3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73025">
              <a:solidFill>
                <a:schemeClr val="accent1">
                  <a:lumMod val="40000"/>
                  <a:lumOff val="60000"/>
                  <a:alpha val="97000"/>
                </a:schemeClr>
              </a:solidFill>
            </a:ln>
            <a:effectLst/>
          </c:spPr>
          <c:invertIfNegative val="0"/>
          <c:cat>
            <c:numRef>
              <c:f>'Grafico 5'!$B$4:$B$10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5'!$C$4:$C$10</c:f>
              <c:numCache>
                <c:formatCode>#,##0</c:formatCode>
                <c:ptCount val="7"/>
                <c:pt idx="0">
                  <c:v>644</c:v>
                </c:pt>
                <c:pt idx="1">
                  <c:v>757</c:v>
                </c:pt>
                <c:pt idx="2">
                  <c:v>635</c:v>
                </c:pt>
                <c:pt idx="3">
                  <c:v>937</c:v>
                </c:pt>
                <c:pt idx="4">
                  <c:v>708</c:v>
                </c:pt>
                <c:pt idx="5">
                  <c:v>768</c:v>
                </c:pt>
                <c:pt idx="6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8-482E-AFFE-51680C6C10C1}"/>
            </c:ext>
          </c:extLst>
        </c:ser>
        <c:ser>
          <c:idx val="1"/>
          <c:order val="1"/>
          <c:tx>
            <c:strRef>
              <c:f>'Grafico 5'!$D$3</c:f>
              <c:strCache>
                <c:ptCount val="1"/>
                <c:pt idx="0">
                  <c:v>Enviados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bg1">
                  <a:lumMod val="75000"/>
                  <a:alpha val="89000"/>
                </a:schemeClr>
              </a:solidFill>
            </a:ln>
            <a:effectLst/>
          </c:spPr>
          <c:invertIfNegative val="0"/>
          <c:cat>
            <c:numRef>
              <c:f>'Grafico 5'!$B$4:$B$10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5'!$D$4:$D$10</c:f>
              <c:numCache>
                <c:formatCode>#,##0</c:formatCode>
                <c:ptCount val="7"/>
                <c:pt idx="0">
                  <c:v>473</c:v>
                </c:pt>
                <c:pt idx="1">
                  <c:v>629</c:v>
                </c:pt>
                <c:pt idx="2">
                  <c:v>437</c:v>
                </c:pt>
                <c:pt idx="3">
                  <c:v>749</c:v>
                </c:pt>
                <c:pt idx="4">
                  <c:v>583</c:v>
                </c:pt>
                <c:pt idx="5">
                  <c:v>590</c:v>
                </c:pt>
                <c:pt idx="6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8-482E-AFFE-51680C6C1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16836320"/>
        <c:axId val="416835360"/>
      </c:barChart>
      <c:lineChart>
        <c:grouping val="standard"/>
        <c:varyColors val="0"/>
        <c:ser>
          <c:idx val="2"/>
          <c:order val="2"/>
          <c:tx>
            <c:strRef>
              <c:f>'Grafico 5'!$E$3</c:f>
              <c:strCache>
                <c:ptCount val="1"/>
                <c:pt idx="0">
                  <c:v>% Enviados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A5A5A5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'Grafico 5'!$B$4:$B$10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5'!$E$4:$E$10</c:f>
              <c:numCache>
                <c:formatCode>0%</c:formatCode>
                <c:ptCount val="7"/>
                <c:pt idx="0">
                  <c:v>0.73447204968944102</c:v>
                </c:pt>
                <c:pt idx="1">
                  <c:v>0.83091149273447817</c:v>
                </c:pt>
                <c:pt idx="2">
                  <c:v>0.68818897637795273</c:v>
                </c:pt>
                <c:pt idx="3">
                  <c:v>0.79935965848452506</c:v>
                </c:pt>
                <c:pt idx="4">
                  <c:v>0.82344632768361581</c:v>
                </c:pt>
                <c:pt idx="5">
                  <c:v>0.76822916666666663</c:v>
                </c:pt>
                <c:pt idx="6">
                  <c:v>0.84142857142857141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8-482E-AFFE-51680C6C1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836800"/>
        <c:axId val="416843520"/>
      </c:lineChart>
      <c:dateAx>
        <c:axId val="416836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6835360"/>
        <c:crosses val="autoZero"/>
        <c:auto val="1"/>
        <c:lblOffset val="100"/>
        <c:baseTimeUnit val="months"/>
      </c:dateAx>
      <c:valAx>
        <c:axId val="416835360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6836320"/>
        <c:crosses val="autoZero"/>
        <c:crossBetween val="between"/>
        <c:majorUnit val="100"/>
      </c:valAx>
      <c:valAx>
        <c:axId val="41684352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6836800"/>
        <c:crosses val="max"/>
        <c:crossBetween val="between"/>
      </c:valAx>
      <c:dateAx>
        <c:axId val="41683680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168435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5'!$C$3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76200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'Grafico 5'!$B$4:$B$10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5'!$C$4:$C$10</c:f>
              <c:numCache>
                <c:formatCode>#,##0</c:formatCode>
                <c:ptCount val="7"/>
                <c:pt idx="0">
                  <c:v>644</c:v>
                </c:pt>
                <c:pt idx="1">
                  <c:v>757</c:v>
                </c:pt>
                <c:pt idx="2">
                  <c:v>635</c:v>
                </c:pt>
                <c:pt idx="3">
                  <c:v>937</c:v>
                </c:pt>
                <c:pt idx="4">
                  <c:v>708</c:v>
                </c:pt>
                <c:pt idx="5">
                  <c:v>768</c:v>
                </c:pt>
                <c:pt idx="6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A-49E2-9300-525669FC5604}"/>
            </c:ext>
          </c:extLst>
        </c:ser>
        <c:ser>
          <c:idx val="1"/>
          <c:order val="1"/>
          <c:tx>
            <c:strRef>
              <c:f>'Grafico 5'!$D$3</c:f>
              <c:strCache>
                <c:ptCount val="1"/>
                <c:pt idx="0">
                  <c:v>Enviados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'Grafico 5'!$B$4:$B$10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5'!$D$4:$D$10</c:f>
              <c:numCache>
                <c:formatCode>#,##0</c:formatCode>
                <c:ptCount val="7"/>
                <c:pt idx="0">
                  <c:v>473</c:v>
                </c:pt>
                <c:pt idx="1">
                  <c:v>629</c:v>
                </c:pt>
                <c:pt idx="2">
                  <c:v>437</c:v>
                </c:pt>
                <c:pt idx="3">
                  <c:v>749</c:v>
                </c:pt>
                <c:pt idx="4">
                  <c:v>583</c:v>
                </c:pt>
                <c:pt idx="5">
                  <c:v>590</c:v>
                </c:pt>
                <c:pt idx="6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A-49E2-9300-525669FC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6"/>
        <c:overlap val="100"/>
        <c:axId val="1254684896"/>
        <c:axId val="1254672416"/>
      </c:barChart>
      <c:lineChart>
        <c:grouping val="standard"/>
        <c:varyColors val="0"/>
        <c:ser>
          <c:idx val="2"/>
          <c:order val="2"/>
          <c:tx>
            <c:strRef>
              <c:f>'Grafico 5'!$E$3</c:f>
              <c:strCache>
                <c:ptCount val="1"/>
                <c:pt idx="0">
                  <c:v>% Enviados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A5A5A5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'Grafico 5'!$B$4:$B$10</c:f>
              <c:numCache>
                <c:formatCode>mmm\-yy</c:formatCode>
                <c:ptCount val="7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</c:numCache>
            </c:numRef>
          </c:cat>
          <c:val>
            <c:numRef>
              <c:f>'Grafico 5'!$E$4:$E$10</c:f>
              <c:numCache>
                <c:formatCode>0%</c:formatCode>
                <c:ptCount val="7"/>
                <c:pt idx="0">
                  <c:v>0.73447204968944102</c:v>
                </c:pt>
                <c:pt idx="1">
                  <c:v>0.83091149273447817</c:v>
                </c:pt>
                <c:pt idx="2">
                  <c:v>0.68818897637795273</c:v>
                </c:pt>
                <c:pt idx="3">
                  <c:v>0.79935965848452506</c:v>
                </c:pt>
                <c:pt idx="4">
                  <c:v>0.82344632768361581</c:v>
                </c:pt>
                <c:pt idx="5">
                  <c:v>0.76822916666666663</c:v>
                </c:pt>
                <c:pt idx="6">
                  <c:v>0.84142857142857141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A-49E2-9300-525669FC5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673376"/>
        <c:axId val="1254672896"/>
      </c:lineChart>
      <c:dateAx>
        <c:axId val="1254684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672416"/>
        <c:crosses val="autoZero"/>
        <c:auto val="1"/>
        <c:lblOffset val="100"/>
        <c:baseTimeUnit val="months"/>
      </c:dateAx>
      <c:valAx>
        <c:axId val="1254672416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684896"/>
        <c:crosses val="autoZero"/>
        <c:crossBetween val="between"/>
        <c:majorUnit val="100"/>
      </c:valAx>
      <c:valAx>
        <c:axId val="12546728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4673376"/>
        <c:crosses val="max"/>
        <c:crossBetween val="between"/>
      </c:valAx>
      <c:dateAx>
        <c:axId val="125467337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5467289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6'!$C$4</c:f>
              <c:strCache>
                <c:ptCount val="1"/>
                <c:pt idx="0">
                  <c:v>Moda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'Grafico 6'!$B$5:$B$8</c:f>
              <c:strCache>
                <c:ptCount val="4"/>
                <c:pt idx="0">
                  <c:v>SUR</c:v>
                </c:pt>
                <c:pt idx="1">
                  <c:v>NORTE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'Grafico 6'!$C$5:$C$8</c:f>
              <c:numCache>
                <c:formatCode>#,##0</c:formatCode>
                <c:ptCount val="4"/>
                <c:pt idx="0">
                  <c:v>5250</c:v>
                </c:pt>
                <c:pt idx="1">
                  <c:v>8090</c:v>
                </c:pt>
                <c:pt idx="2">
                  <c:v>9480</c:v>
                </c:pt>
                <c:pt idx="3">
                  <c:v>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D-42DF-8FD5-8FC87FE513F3}"/>
            </c:ext>
          </c:extLst>
        </c:ser>
        <c:ser>
          <c:idx val="1"/>
          <c:order val="1"/>
          <c:tx>
            <c:strRef>
              <c:f>'Grafico 6'!$D$4</c:f>
              <c:strCache>
                <c:ptCount val="1"/>
                <c:pt idx="0">
                  <c:v>Hogar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'Grafico 6'!$B$5:$B$8</c:f>
              <c:strCache>
                <c:ptCount val="4"/>
                <c:pt idx="0">
                  <c:v>SUR</c:v>
                </c:pt>
                <c:pt idx="1">
                  <c:v>NORTE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'Grafico 6'!$D$5:$D$8</c:f>
              <c:numCache>
                <c:formatCode>#,##0</c:formatCode>
                <c:ptCount val="4"/>
                <c:pt idx="0">
                  <c:v>8490</c:v>
                </c:pt>
                <c:pt idx="1">
                  <c:v>12400</c:v>
                </c:pt>
                <c:pt idx="2">
                  <c:v>14250</c:v>
                </c:pt>
                <c:pt idx="3">
                  <c:v>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D-42DF-8FD5-8FC87FE513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3729856"/>
        <c:axId val="533738496"/>
      </c:barChart>
      <c:catAx>
        <c:axId val="5337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3738496"/>
        <c:crosses val="autoZero"/>
        <c:auto val="1"/>
        <c:lblAlgn val="ctr"/>
        <c:lblOffset val="100"/>
        <c:noMultiLvlLbl val="0"/>
      </c:catAx>
      <c:valAx>
        <c:axId val="5337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3729856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ModE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 6'!$F$5:$F$8</c:f>
              <c:strCache>
                <c:ptCount val="4"/>
                <c:pt idx="0">
                  <c:v>SUR</c:v>
                </c:pt>
                <c:pt idx="1">
                  <c:v>NORTE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'Grafico 6'!$J$5:$J$8</c:f>
              <c:numCache>
                <c:formatCode>#,##0</c:formatCode>
                <c:ptCount val="4"/>
                <c:pt idx="0">
                  <c:v>5250</c:v>
                </c:pt>
                <c:pt idx="1">
                  <c:v>8090</c:v>
                </c:pt>
                <c:pt idx="2">
                  <c:v>9480</c:v>
                </c:pt>
                <c:pt idx="3">
                  <c:v>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4-40E0-A176-AFDE103700E9}"/>
            </c:ext>
          </c:extLst>
        </c:ser>
        <c:ser>
          <c:idx val="1"/>
          <c:order val="1"/>
          <c:tx>
            <c:v>Hogar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'Grafico 6'!$F$5:$F$8</c:f>
              <c:strCache>
                <c:ptCount val="4"/>
                <c:pt idx="0">
                  <c:v>SUR</c:v>
                </c:pt>
                <c:pt idx="1">
                  <c:v>NORTE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'Grafico 6'!$N$5:$N$8</c:f>
              <c:numCache>
                <c:formatCode>#,##0</c:formatCode>
                <c:ptCount val="4"/>
                <c:pt idx="0">
                  <c:v>8490</c:v>
                </c:pt>
                <c:pt idx="1">
                  <c:v>12400</c:v>
                </c:pt>
                <c:pt idx="2">
                  <c:v>14250</c:v>
                </c:pt>
                <c:pt idx="3">
                  <c:v>7520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4-40E0-A176-AFDE10370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649760"/>
        <c:axId val="1315650720"/>
      </c:barChart>
      <c:catAx>
        <c:axId val="13156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5650720"/>
        <c:crosses val="autoZero"/>
        <c:auto val="1"/>
        <c:lblAlgn val="ctr"/>
        <c:lblOffset val="100"/>
        <c:noMultiLvlLbl val="0"/>
      </c:catAx>
      <c:valAx>
        <c:axId val="13156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5649760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560573</xdr:colOff>
      <xdr:row>2</xdr:row>
      <xdr:rowOff>117381</xdr:rowOff>
    </xdr:from>
    <xdr:to>
      <xdr:col>18</xdr:col>
      <xdr:colOff>76200</xdr:colOff>
      <xdr:row>14</xdr:row>
      <xdr:rowOff>150719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ACD29B-AB61-9CB8-3BE3-64206D99B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170329</xdr:colOff>
      <xdr:row>4</xdr:row>
      <xdr:rowOff>44823</xdr:rowOff>
    </xdr:from>
    <xdr:to>
      <xdr:col>10</xdr:col>
      <xdr:colOff>8965</xdr:colOff>
      <xdr:row>19</xdr:row>
      <xdr:rowOff>98612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F3688D-A5A2-5005-0362-E9FB4FC32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15</xdr:row>
      <xdr:rowOff>61912</xdr:rowOff>
    </xdr:from>
    <xdr:to>
      <xdr:col>5</xdr:col>
      <xdr:colOff>476250</xdr:colOff>
      <xdr:row>25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93A16B-F962-BD74-5DA3-CFA8866FD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3</xdr:row>
      <xdr:rowOff>7620</xdr:rowOff>
    </xdr:from>
    <xdr:to>
      <xdr:col>8</xdr:col>
      <xdr:colOff>643890</xdr:colOff>
      <xdr:row>13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3E8D85-707A-106A-5550-F0A2B02B1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0.41192</cdr:x>
      <cdr:y>0.37532</cdr:y>
    </cdr:from>
    <cdr:to>
      <cdr:x>0.62914</cdr:x>
      <cdr:y>0.70277</cdr:y>
    </cdr:to>
    <cdr:sp macro="" textlink="'Grafico 3'!$E$14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C9858F5-3D8A-EB10-BF7D-15A48BE6D1F9}"/>
            </a:ext>
          </a:extLst>
        </cdr:cNvPr>
        <cdr:cNvSpPr txBox="1"/>
      </cdr:nvSpPr>
      <cdr:spPr>
        <a:xfrm xmlns:a="http://schemas.openxmlformats.org/drawingml/2006/main">
          <a:off x="1481132" y="709622"/>
          <a:ext cx="781056" cy="6191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1D729FFA-1AE6-4C08-8CED-C08254E7FC3A}" type="TxLink">
            <a:rPr lang="en-US" sz="2400" b="1" i="0" u="none" strike="noStrike">
              <a:solidFill>
                <a:schemeClr val="accent6">
                  <a:lumMod val="50000"/>
                </a:schemeClr>
              </a:solidFill>
              <a:latin typeface="Calibri"/>
              <a:cs typeface="Calibri"/>
            </a:rPr>
            <a:pPr/>
            <a:t>59%</a:t>
          </a:fld>
          <a:endParaRPr lang="es-ES" sz="2400" b="1">
            <a:solidFill>
              <a:schemeClr val="accent6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0.40637</cdr:x>
      <cdr:y>0.40237</cdr:y>
    </cdr:from>
    <cdr:to>
      <cdr:x>0.60292</cdr:x>
      <cdr:y>0.61538</cdr:y>
    </cdr:to>
    <cdr:sp macro="" textlink="'Grafico 3'!$E$14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062F10E5-5C77-9AF9-EA2C-3617420EA52D}"/>
            </a:ext>
          </a:extLst>
        </cdr:cNvPr>
        <cdr:cNvSpPr txBox="1"/>
      </cdr:nvSpPr>
      <cdr:spPr>
        <a:xfrm xmlns:a="http://schemas.openxmlformats.org/drawingml/2006/main">
          <a:off x="1165860" y="777240"/>
          <a:ext cx="563880" cy="411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A709002-DEF0-472D-8F6E-C3447F75D51D}" type="TxLink">
            <a:rPr lang="en-US" sz="1600" b="1" i="0" u="none" strike="noStrike">
              <a:solidFill>
                <a:srgbClr val="FF0000"/>
              </a:solidFill>
              <a:latin typeface="Calibri"/>
              <a:cs typeface="Calibri"/>
            </a:rPr>
            <a:t>59%</a:t>
          </a:fld>
          <a:endParaRPr lang="es-CO" sz="1600" b="1">
            <a:solidFill>
              <a:srgbClr val="FF000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609600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FA4213-2F16-49DB-8680-BFD64F977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318258</xdr:colOff>
      <xdr:row>17</xdr:row>
      <xdr:rowOff>207</xdr:rowOff>
    </xdr:from>
    <xdr:to>
      <xdr:col>13</xdr:col>
      <xdr:colOff>262765</xdr:colOff>
      <xdr:row>31</xdr:row>
      <xdr:rowOff>76406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A24DB1-E7A9-EF80-1913-B96EF864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264584</xdr:colOff>
      <xdr:row>2</xdr:row>
      <xdr:rowOff>14817</xdr:rowOff>
    </xdr:from>
    <xdr:to>
      <xdr:col>13</xdr:col>
      <xdr:colOff>264584</xdr:colOff>
      <xdr:row>16</xdr:row>
      <xdr:rowOff>91017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C7E02BA-F781-828E-7B40-C6FB14CD0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9</xdr:row>
      <xdr:rowOff>119062</xdr:rowOff>
    </xdr:from>
    <xdr:to>
      <xdr:col>6</xdr:col>
      <xdr:colOff>28576</xdr:colOff>
      <xdr:row>19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872203-8EA5-FF67-D894-56CF2D3B5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409575</xdr:colOff>
      <xdr:row>9</xdr:row>
      <xdr:rowOff>109537</xdr:rowOff>
    </xdr:from>
    <xdr:to>
      <xdr:col>12</xdr:col>
      <xdr:colOff>400050</xdr:colOff>
      <xdr:row>19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D400AB-D2D0-647F-A78A-DA12F32CE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ARTpro-TIP-Grafico-con-Me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"/>
      <sheetName val="SMARTexcel"/>
    </sheetNames>
    <sheetDataSet>
      <sheetData sheetId="0">
        <row r="9">
          <cell r="C9" t="str">
            <v>VENTAS ($)</v>
          </cell>
          <cell r="D9" t="str">
            <v>META</v>
          </cell>
        </row>
        <row r="10">
          <cell r="B10" t="str">
            <v>Bogotá</v>
          </cell>
          <cell r="C10">
            <v>6090.3</v>
          </cell>
          <cell r="D10">
            <v>5000</v>
          </cell>
        </row>
        <row r="11">
          <cell r="B11" t="str">
            <v>Cali</v>
          </cell>
          <cell r="C11">
            <v>5070.2</v>
          </cell>
          <cell r="D11">
            <v>5000</v>
          </cell>
        </row>
        <row r="12">
          <cell r="B12" t="str">
            <v>Medellín</v>
          </cell>
          <cell r="C12">
            <v>4060.2</v>
          </cell>
          <cell r="D12">
            <v>5000</v>
          </cell>
        </row>
        <row r="13">
          <cell r="B13" t="str">
            <v>Brasilia</v>
          </cell>
          <cell r="C13">
            <v>5746.9</v>
          </cell>
          <cell r="D13">
            <v>5000</v>
          </cell>
        </row>
        <row r="14">
          <cell r="B14" t="str">
            <v>Sao Paulo</v>
          </cell>
          <cell r="C14">
            <v>6352.9</v>
          </cell>
          <cell r="D14">
            <v>5000</v>
          </cell>
        </row>
        <row r="15">
          <cell r="B15" t="str">
            <v>Caracas</v>
          </cell>
          <cell r="C15">
            <v>4837.8999999999996</v>
          </cell>
          <cell r="D15">
            <v>5000</v>
          </cell>
        </row>
        <row r="16">
          <cell r="B16" t="str">
            <v>Maracaibo</v>
          </cell>
          <cell r="C16">
            <v>6666</v>
          </cell>
          <cell r="D16">
            <v>5000</v>
          </cell>
        </row>
        <row r="17">
          <cell r="B17" t="str">
            <v>Valencia</v>
          </cell>
          <cell r="C17">
            <v>5847.9</v>
          </cell>
          <cell r="D17">
            <v>5000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1656-A56D-4387-88B1-4AA431EFDD36}">
  <dimension ref="B1:D12"/>
  <sheetViews>
    <sheetView showGridLines="0" zoomScale="85" zoomScaleNormal="85" workbookViewId="0">
      <selection activeCell="B5" sqref="B5"/>
    </sheetView>
  </sheetViews>
  <sheetFormatPr baseColWidth="10" defaultRowHeight="14.4" x14ac:dyDescent="0.3"/>
  <cols>
    <col min="1" max="1" width="3.109375" customWidth="1"/>
    <col min="3" max="4" width="11.6640625" bestFit="1" customWidth="1"/>
  </cols>
  <sheetData>
    <row r="1" spans="2:4" s="1" customFormat="1" x14ac:dyDescent="0.3"/>
    <row r="2" spans="2:4" ht="9" customHeight="1" x14ac:dyDescent="0.3"/>
    <row r="3" spans="2:4" x14ac:dyDescent="0.3">
      <c r="B3" s="42" t="s">
        <v>20</v>
      </c>
      <c r="C3" s="42"/>
      <c r="D3" s="42"/>
    </row>
    <row r="5" spans="2:4" x14ac:dyDescent="0.3">
      <c r="B5" s="11" t="s">
        <v>0</v>
      </c>
      <c r="C5" s="12" t="s">
        <v>1</v>
      </c>
      <c r="D5" s="12" t="s">
        <v>6</v>
      </c>
    </row>
    <row r="6" spans="2:4" x14ac:dyDescent="0.3">
      <c r="B6" s="2">
        <v>45444</v>
      </c>
      <c r="C6" s="3">
        <v>3218404</v>
      </c>
      <c r="D6" s="8">
        <v>2591824</v>
      </c>
    </row>
    <row r="7" spans="2:4" x14ac:dyDescent="0.3">
      <c r="B7" s="4">
        <f>EDATE(B6,1)</f>
        <v>45474</v>
      </c>
      <c r="C7" s="5">
        <v>4382168</v>
      </c>
      <c r="D7" s="9">
        <v>4517920</v>
      </c>
    </row>
    <row r="8" spans="2:4" x14ac:dyDescent="0.3">
      <c r="B8" s="4">
        <f t="shared" ref="B8:B12" si="0">EDATE(B7,1)</f>
        <v>45505</v>
      </c>
      <c r="C8" s="5">
        <v>4452297</v>
      </c>
      <c r="D8" s="9">
        <v>3715634</v>
      </c>
    </row>
    <row r="9" spans="2:4" x14ac:dyDescent="0.3">
      <c r="B9" s="4">
        <f t="shared" si="0"/>
        <v>45536</v>
      </c>
      <c r="C9" s="5">
        <v>4492639</v>
      </c>
      <c r="D9" s="9">
        <v>3084384</v>
      </c>
    </row>
    <row r="10" spans="2:4" x14ac:dyDescent="0.3">
      <c r="B10" s="4">
        <f t="shared" si="0"/>
        <v>45566</v>
      </c>
      <c r="C10" s="5">
        <v>4504307</v>
      </c>
      <c r="D10" s="9">
        <v>3226417</v>
      </c>
    </row>
    <row r="11" spans="2:4" x14ac:dyDescent="0.3">
      <c r="B11" s="4">
        <f t="shared" si="0"/>
        <v>45597</v>
      </c>
      <c r="C11" s="5">
        <v>3874883</v>
      </c>
      <c r="D11" s="9">
        <v>4690421</v>
      </c>
    </row>
    <row r="12" spans="2:4" x14ac:dyDescent="0.3">
      <c r="B12" s="6">
        <f t="shared" si="0"/>
        <v>45627</v>
      </c>
      <c r="C12" s="7">
        <v>4952283</v>
      </c>
      <c r="D12" s="10">
        <v>4810550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F283-F0D4-45B2-9C43-0488AA8D2904}">
  <dimension ref="B1:F14"/>
  <sheetViews>
    <sheetView showGridLines="0" workbookViewId="0">
      <selection activeCell="D10" sqref="D10"/>
    </sheetView>
  </sheetViews>
  <sheetFormatPr baseColWidth="10" defaultRowHeight="14.4" x14ac:dyDescent="0.3"/>
  <cols>
    <col min="1" max="1" width="3.109375" customWidth="1"/>
    <col min="3" max="4" width="11.6640625" bestFit="1" customWidth="1"/>
  </cols>
  <sheetData>
    <row r="1" spans="2:6" s="1" customFormat="1" x14ac:dyDescent="0.3"/>
    <row r="2" spans="2:6" ht="9" customHeight="1" x14ac:dyDescent="0.3"/>
    <row r="5" spans="2:6" x14ac:dyDescent="0.3">
      <c r="B5" s="11" t="s">
        <v>3</v>
      </c>
      <c r="C5" s="12" t="s">
        <v>2</v>
      </c>
      <c r="D5" s="12" t="s">
        <v>4</v>
      </c>
      <c r="E5" s="12" t="s">
        <v>5</v>
      </c>
    </row>
    <row r="6" spans="2:6" x14ac:dyDescent="0.3">
      <c r="B6" s="2">
        <v>45444</v>
      </c>
      <c r="C6" s="13">
        <v>644</v>
      </c>
      <c r="D6" s="14">
        <v>473</v>
      </c>
      <c r="E6" s="19">
        <f>D6/C6</f>
        <v>0.73447204968944102</v>
      </c>
    </row>
    <row r="7" spans="2:6" x14ac:dyDescent="0.3">
      <c r="B7" s="4">
        <f>EDATE(B6,1)</f>
        <v>45474</v>
      </c>
      <c r="C7" s="15">
        <v>757</v>
      </c>
      <c r="D7" s="16">
        <v>100</v>
      </c>
      <c r="E7" s="20">
        <f t="shared" ref="E7:E12" si="0">D7/C7</f>
        <v>0.13210039630118892</v>
      </c>
    </row>
    <row r="8" spans="2:6" x14ac:dyDescent="0.3">
      <c r="B8" s="4">
        <f t="shared" ref="B8:B12" si="1">EDATE(B7,1)</f>
        <v>45505</v>
      </c>
      <c r="C8" s="15">
        <v>635</v>
      </c>
      <c r="D8" s="16">
        <v>500</v>
      </c>
      <c r="E8" s="20">
        <f t="shared" si="0"/>
        <v>0.78740157480314965</v>
      </c>
    </row>
    <row r="9" spans="2:6" x14ac:dyDescent="0.3">
      <c r="B9" s="4">
        <f t="shared" si="1"/>
        <v>45536</v>
      </c>
      <c r="C9" s="15">
        <v>937</v>
      </c>
      <c r="D9" s="16">
        <v>200</v>
      </c>
      <c r="E9" s="20">
        <f t="shared" si="0"/>
        <v>0.21344717182497333</v>
      </c>
    </row>
    <row r="10" spans="2:6" x14ac:dyDescent="0.3">
      <c r="B10" s="4">
        <f t="shared" si="1"/>
        <v>45566</v>
      </c>
      <c r="C10" s="15">
        <v>708</v>
      </c>
      <c r="D10" s="16">
        <v>583</v>
      </c>
      <c r="E10" s="20">
        <f t="shared" si="0"/>
        <v>0.82344632768361581</v>
      </c>
    </row>
    <row r="11" spans="2:6" x14ac:dyDescent="0.3">
      <c r="B11" s="4">
        <f t="shared" si="1"/>
        <v>45597</v>
      </c>
      <c r="C11" s="15">
        <v>768</v>
      </c>
      <c r="D11" s="16">
        <v>590</v>
      </c>
      <c r="E11" s="20">
        <f t="shared" si="0"/>
        <v>0.76822916666666663</v>
      </c>
    </row>
    <row r="12" spans="2:6" x14ac:dyDescent="0.3">
      <c r="B12" s="6">
        <f t="shared" si="1"/>
        <v>45627</v>
      </c>
      <c r="C12" s="17">
        <v>700</v>
      </c>
      <c r="D12" s="18">
        <v>589</v>
      </c>
      <c r="E12" s="21">
        <f t="shared" si="0"/>
        <v>0.84142857142857141</v>
      </c>
    </row>
    <row r="14" spans="2:6" x14ac:dyDescent="0.3">
      <c r="B14" t="s">
        <v>17</v>
      </c>
      <c r="E14" s="40">
        <f>SUM(D6:D12)/SUM(C6:C12)</f>
        <v>0.58943484171683824</v>
      </c>
      <c r="F14" s="41">
        <f>100%-E14</f>
        <v>0.41056515828316176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C312-1B76-40AB-8AC1-770B7C24E258}">
  <dimension ref="B4:C14"/>
  <sheetViews>
    <sheetView tabSelected="1" workbookViewId="0">
      <selection activeCell="A11" sqref="A11"/>
    </sheetView>
  </sheetViews>
  <sheetFormatPr baseColWidth="10" defaultRowHeight="14.4" x14ac:dyDescent="0.3"/>
  <sheetData>
    <row r="4" spans="2:3" x14ac:dyDescent="0.3">
      <c r="B4" s="58" t="s">
        <v>21</v>
      </c>
      <c r="C4" s="59">
        <v>5000</v>
      </c>
    </row>
    <row r="6" spans="2:3" x14ac:dyDescent="0.3">
      <c r="B6" t="s">
        <v>22</v>
      </c>
      <c r="C6" t="s">
        <v>23</v>
      </c>
    </row>
    <row r="7" spans="2:3" x14ac:dyDescent="0.3">
      <c r="B7" s="60" t="s">
        <v>24</v>
      </c>
      <c r="C7" s="61">
        <v>6090.3</v>
      </c>
    </row>
    <row r="8" spans="2:3" x14ac:dyDescent="0.3">
      <c r="B8" s="60" t="s">
        <v>25</v>
      </c>
      <c r="C8" s="61">
        <v>5070.2</v>
      </c>
    </row>
    <row r="9" spans="2:3" x14ac:dyDescent="0.3">
      <c r="B9" s="60" t="s">
        <v>26</v>
      </c>
      <c r="C9" s="61">
        <v>4060.2</v>
      </c>
    </row>
    <row r="10" spans="2:3" x14ac:dyDescent="0.3">
      <c r="B10" s="60" t="s">
        <v>27</v>
      </c>
      <c r="C10" s="61">
        <v>5746.9</v>
      </c>
    </row>
    <row r="11" spans="2:3" x14ac:dyDescent="0.3">
      <c r="B11" s="60" t="s">
        <v>28</v>
      </c>
      <c r="C11" s="61">
        <v>6352.9</v>
      </c>
    </row>
    <row r="12" spans="2:3" x14ac:dyDescent="0.3">
      <c r="B12" s="60" t="s">
        <v>29</v>
      </c>
      <c r="C12" s="61">
        <v>4837.8999999999996</v>
      </c>
    </row>
    <row r="13" spans="2:3" x14ac:dyDescent="0.3">
      <c r="B13" s="60" t="s">
        <v>30</v>
      </c>
      <c r="C13" s="61">
        <v>6666</v>
      </c>
    </row>
    <row r="14" spans="2:3" x14ac:dyDescent="0.3">
      <c r="B14" s="60" t="s">
        <v>31</v>
      </c>
      <c r="C14" s="61">
        <v>5847.9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B74E-21D2-49E4-A660-2BFF14AFF788}">
  <dimension ref="B1:E10"/>
  <sheetViews>
    <sheetView showGridLines="0" topLeftCell="A2" zoomScale="115" zoomScaleNormal="115" workbookViewId="0">
      <selection activeCell="B3" sqref="B3:E10"/>
    </sheetView>
  </sheetViews>
  <sheetFormatPr baseColWidth="10" defaultRowHeight="14.4" x14ac:dyDescent="0.3"/>
  <cols>
    <col min="1" max="1" width="3.109375" customWidth="1"/>
    <col min="3" max="4" width="11.6640625" bestFit="1" customWidth="1"/>
  </cols>
  <sheetData>
    <row r="1" spans="2:5" s="1" customFormat="1" x14ac:dyDescent="0.3"/>
    <row r="2" spans="2:5" ht="9" customHeight="1" x14ac:dyDescent="0.3"/>
    <row r="3" spans="2:5" x14ac:dyDescent="0.3">
      <c r="B3" s="43" t="s">
        <v>3</v>
      </c>
      <c r="C3" s="44" t="s">
        <v>2</v>
      </c>
      <c r="D3" s="44" t="s">
        <v>4</v>
      </c>
      <c r="E3" s="44" t="s">
        <v>5</v>
      </c>
    </row>
    <row r="4" spans="2:5" x14ac:dyDescent="0.3">
      <c r="B4" s="45">
        <v>45444</v>
      </c>
      <c r="C4" s="49">
        <v>644</v>
      </c>
      <c r="D4" s="50">
        <v>473</v>
      </c>
      <c r="E4" s="51">
        <f>D4/C4</f>
        <v>0.73447204968944102</v>
      </c>
    </row>
    <row r="5" spans="2:5" x14ac:dyDescent="0.3">
      <c r="B5" s="46">
        <f>EDATE(B4,1)</f>
        <v>45474</v>
      </c>
      <c r="C5" s="52">
        <v>757</v>
      </c>
      <c r="D5" s="53">
        <v>629</v>
      </c>
      <c r="E5" s="54">
        <f t="shared" ref="E5:E10" si="0">D5/C5</f>
        <v>0.83091149273447817</v>
      </c>
    </row>
    <row r="6" spans="2:5" x14ac:dyDescent="0.3">
      <c r="B6" s="46">
        <f t="shared" ref="B6:B10" si="1">EDATE(B5,1)</f>
        <v>45505</v>
      </c>
      <c r="C6" s="52">
        <v>635</v>
      </c>
      <c r="D6" s="53">
        <v>437</v>
      </c>
      <c r="E6" s="54">
        <f t="shared" si="0"/>
        <v>0.68818897637795273</v>
      </c>
    </row>
    <row r="7" spans="2:5" x14ac:dyDescent="0.3">
      <c r="B7" s="46">
        <f t="shared" si="1"/>
        <v>45536</v>
      </c>
      <c r="C7" s="52">
        <v>937</v>
      </c>
      <c r="D7" s="53">
        <v>749</v>
      </c>
      <c r="E7" s="54">
        <f t="shared" si="0"/>
        <v>0.79935965848452506</v>
      </c>
    </row>
    <row r="8" spans="2:5" x14ac:dyDescent="0.3">
      <c r="B8" s="46">
        <f t="shared" si="1"/>
        <v>45566</v>
      </c>
      <c r="C8" s="52">
        <v>708</v>
      </c>
      <c r="D8" s="53">
        <v>583</v>
      </c>
      <c r="E8" s="54">
        <f t="shared" si="0"/>
        <v>0.82344632768361581</v>
      </c>
    </row>
    <row r="9" spans="2:5" x14ac:dyDescent="0.3">
      <c r="B9" s="46">
        <f t="shared" si="1"/>
        <v>45597</v>
      </c>
      <c r="C9" s="52">
        <v>768</v>
      </c>
      <c r="D9" s="53">
        <v>590</v>
      </c>
      <c r="E9" s="54">
        <f t="shared" si="0"/>
        <v>0.76822916666666663</v>
      </c>
    </row>
    <row r="10" spans="2:5" x14ac:dyDescent="0.3">
      <c r="B10" s="47">
        <f t="shared" si="1"/>
        <v>45627</v>
      </c>
      <c r="C10" s="55">
        <v>700</v>
      </c>
      <c r="D10" s="56">
        <v>589</v>
      </c>
      <c r="E10" s="57">
        <f t="shared" si="0"/>
        <v>0.84142857142857141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C559-697C-42BD-8D2C-9C83879C25C4}">
  <dimension ref="B1:N8"/>
  <sheetViews>
    <sheetView showGridLines="0" topLeftCell="A4" workbookViewId="0">
      <selection activeCell="K24" sqref="K24"/>
    </sheetView>
  </sheetViews>
  <sheetFormatPr baseColWidth="10" defaultRowHeight="14.4" x14ac:dyDescent="0.3"/>
  <cols>
    <col min="1" max="1" width="3.109375" customWidth="1"/>
    <col min="2" max="2" width="9.88671875" customWidth="1"/>
    <col min="3" max="4" width="9" customWidth="1"/>
    <col min="6" max="6" width="10.6640625" customWidth="1"/>
    <col min="7" max="9" width="8" customWidth="1"/>
    <col min="11" max="13" width="8.5546875" customWidth="1"/>
  </cols>
  <sheetData>
    <row r="1" spans="2:14" s="1" customFormat="1" x14ac:dyDescent="0.3"/>
    <row r="4" spans="2:14" x14ac:dyDescent="0.3">
      <c r="B4" s="22" t="s">
        <v>7</v>
      </c>
      <c r="C4" s="23" t="s">
        <v>8</v>
      </c>
      <c r="D4" s="24" t="s">
        <v>9</v>
      </c>
      <c r="F4" s="48" t="s">
        <v>7</v>
      </c>
      <c r="G4" s="23" t="s">
        <v>15</v>
      </c>
      <c r="H4" s="23" t="s">
        <v>16</v>
      </c>
      <c r="I4" s="23" t="s">
        <v>14</v>
      </c>
      <c r="J4" s="23" t="s">
        <v>18</v>
      </c>
      <c r="K4" s="23" t="s">
        <v>15</v>
      </c>
      <c r="L4" s="23" t="s">
        <v>16</v>
      </c>
      <c r="M4" s="23" t="s">
        <v>14</v>
      </c>
      <c r="N4" s="24" t="s">
        <v>19</v>
      </c>
    </row>
    <row r="5" spans="2:14" x14ac:dyDescent="0.3">
      <c r="B5" s="25" t="s">
        <v>10</v>
      </c>
      <c r="C5" s="26">
        <v>5250</v>
      </c>
      <c r="D5" s="26">
        <v>8490</v>
      </c>
      <c r="F5" s="31" t="s">
        <v>10</v>
      </c>
      <c r="G5" s="32">
        <v>546</v>
      </c>
      <c r="H5" s="33">
        <f>G5*3.25</f>
        <v>1774.5</v>
      </c>
      <c r="I5" s="33">
        <f>J5-H5</f>
        <v>3475.5</v>
      </c>
      <c r="J5" s="26">
        <v>5250</v>
      </c>
      <c r="K5" s="32">
        <f>G5+129</f>
        <v>675</v>
      </c>
      <c r="L5" s="33">
        <f>K5*3.25</f>
        <v>2193.75</v>
      </c>
      <c r="M5" s="33">
        <f>N5-L5</f>
        <v>6296.25</v>
      </c>
      <c r="N5" s="26">
        <v>8490</v>
      </c>
    </row>
    <row r="6" spans="2:14" x14ac:dyDescent="0.3">
      <c r="B6" s="27" t="s">
        <v>12</v>
      </c>
      <c r="C6" s="28">
        <v>8090</v>
      </c>
      <c r="D6" s="28">
        <v>12400</v>
      </c>
      <c r="F6" s="34" t="s">
        <v>12</v>
      </c>
      <c r="G6" s="35">
        <v>952</v>
      </c>
      <c r="H6" s="36">
        <f t="shared" ref="H6:H8" si="0">G6*3.25</f>
        <v>3094</v>
      </c>
      <c r="I6" s="36">
        <f t="shared" ref="I6:I8" si="1">J6-H6</f>
        <v>4996</v>
      </c>
      <c r="J6" s="28">
        <v>8090</v>
      </c>
      <c r="K6" s="35">
        <f t="shared" ref="K6:K8" si="2">G6+129</f>
        <v>1081</v>
      </c>
      <c r="L6" s="36">
        <f t="shared" ref="L6:L8" si="3">K6*3.25</f>
        <v>3513.25</v>
      </c>
      <c r="M6" s="36">
        <f t="shared" ref="M6:M8" si="4">N6-L6</f>
        <v>8886.75</v>
      </c>
      <c r="N6" s="28">
        <v>12400</v>
      </c>
    </row>
    <row r="7" spans="2:14" x14ac:dyDescent="0.3">
      <c r="B7" s="27" t="s">
        <v>11</v>
      </c>
      <c r="C7" s="28">
        <v>9480</v>
      </c>
      <c r="D7" s="28">
        <v>14250</v>
      </c>
      <c r="F7" s="34" t="s">
        <v>11</v>
      </c>
      <c r="G7" s="35">
        <v>1023</v>
      </c>
      <c r="H7" s="36">
        <f t="shared" si="0"/>
        <v>3324.75</v>
      </c>
      <c r="I7" s="36">
        <f t="shared" si="1"/>
        <v>6155.25</v>
      </c>
      <c r="J7" s="28">
        <v>9480</v>
      </c>
      <c r="K7" s="35">
        <f t="shared" si="2"/>
        <v>1152</v>
      </c>
      <c r="L7" s="36">
        <f t="shared" si="3"/>
        <v>3744</v>
      </c>
      <c r="M7" s="36">
        <f t="shared" si="4"/>
        <v>10506</v>
      </c>
      <c r="N7" s="28">
        <v>14250</v>
      </c>
    </row>
    <row r="8" spans="2:14" x14ac:dyDescent="0.3">
      <c r="B8" s="29" t="s">
        <v>13</v>
      </c>
      <c r="C8" s="30">
        <v>4520</v>
      </c>
      <c r="D8" s="30">
        <v>7520</v>
      </c>
      <c r="F8" s="37" t="s">
        <v>13</v>
      </c>
      <c r="G8" s="38">
        <v>497</v>
      </c>
      <c r="H8" s="39">
        <f t="shared" si="0"/>
        <v>1615.25</v>
      </c>
      <c r="I8" s="39">
        <f t="shared" si="1"/>
        <v>2904.75</v>
      </c>
      <c r="J8" s="30">
        <v>4520</v>
      </c>
      <c r="K8" s="38">
        <f t="shared" si="2"/>
        <v>626</v>
      </c>
      <c r="L8" s="39">
        <f t="shared" si="3"/>
        <v>2034.5</v>
      </c>
      <c r="M8" s="39">
        <f t="shared" si="4"/>
        <v>5485.5</v>
      </c>
      <c r="N8" s="30">
        <v>7520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Grafico 1</vt:lpstr>
      <vt:lpstr>Grafico 3</vt:lpstr>
      <vt:lpstr>Grafico 4</vt:lpstr>
      <vt:lpstr>Grafico 5</vt:lpstr>
      <vt:lpstr>Grafico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Varvara</dc:creator>
  <cp:lastModifiedBy>John</cp:lastModifiedBy>
  <dcterms:created xsi:type="dcterms:W3CDTF">2024-09-10T17:00:00Z</dcterms:created>
  <dcterms:modified xsi:type="dcterms:W3CDTF">2025-04-25T16:06:57Z</dcterms:modified>
</cp:coreProperties>
</file>