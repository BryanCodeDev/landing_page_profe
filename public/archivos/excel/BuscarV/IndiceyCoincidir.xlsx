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" sheetId="1" r:id="rId4"/>
    <sheet state="visible" name="Solución" sheetId="2" r:id="rId5"/>
  </sheets>
  <definedNames/>
  <calcPr/>
  <extLst>
    <ext uri="GoogleSheetsCustomDataVersion2">
      <go:sheetsCustomData xmlns:go="http://customooxmlschemas.google.com/" r:id="rId6" roundtripDataChecksum="2XoHllrwn+Gzaqrz6Od8bA61mNImOXwol680zMCslj0="/>
    </ext>
  </extLst>
</workbook>
</file>

<file path=xl/sharedStrings.xml><?xml version="1.0" encoding="utf-8"?>
<sst xmlns="http://schemas.openxmlformats.org/spreadsheetml/2006/main" count="69" uniqueCount="37">
  <si>
    <t xml:space="preserve">ACME, S.A. </t>
  </si>
  <si>
    <t>- División de suminitros eléctricos-</t>
  </si>
  <si>
    <t>Ventas</t>
  </si>
  <si>
    <t>País</t>
  </si>
  <si>
    <t>2012 Previsto</t>
  </si>
  <si>
    <t>Maximo</t>
  </si>
  <si>
    <t>Año</t>
  </si>
  <si>
    <t>Argentina</t>
  </si>
  <si>
    <t>Belice</t>
  </si>
  <si>
    <t>Bolivia</t>
  </si>
  <si>
    <t>Colombia</t>
  </si>
  <si>
    <t>Costa Rica</t>
  </si>
  <si>
    <t>Cuba</t>
  </si>
  <si>
    <t>Chile</t>
  </si>
  <si>
    <t>Ecuador</t>
  </si>
  <si>
    <t>El Salvador</t>
  </si>
  <si>
    <t>España</t>
  </si>
  <si>
    <t>Estados Unidos</t>
  </si>
  <si>
    <t>Guatemala</t>
  </si>
  <si>
    <t>Guinea Ecuatorial</t>
  </si>
  <si>
    <t>Honduras</t>
  </si>
  <si>
    <t>México</t>
  </si>
  <si>
    <t>Nicaragua</t>
  </si>
  <si>
    <t>Paises Bajos</t>
  </si>
  <si>
    <t>Panamá</t>
  </si>
  <si>
    <t>Paraguay</t>
  </si>
  <si>
    <t>Perú</t>
  </si>
  <si>
    <t>Puerto Rico</t>
  </si>
  <si>
    <t>República Dominicana</t>
  </si>
  <si>
    <t>Sahara Occidental</t>
  </si>
  <si>
    <t>Uruguay</t>
  </si>
  <si>
    <t>Venezuela</t>
  </si>
  <si>
    <t>El Ejercicio Consiste en determinar en la columna K cuál ha sido el volúmen de ventas más alto</t>
  </si>
  <si>
    <t>de los últimos años para cada uno de los países.</t>
  </si>
  <si>
    <t>En la columna L indicaremos cúal ha sido el año con mayor importe de ventas de cada uno de</t>
  </si>
  <si>
    <t>los paises.</t>
  </si>
  <si>
    <t>www.exceleros.com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</si>
</sst>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\ _€_-;\-* #,##0\ _€_-;_-* &quot;-&quot;??\ _€_-;_-@"/>
  </numFmts>
  <fonts count="8">
    <font>
      <sz val="11.0"/>
      <color theme="1"/>
      <name val="Calibri"/>
      <scheme val="minor"/>
    </font>
    <font>
      <b/>
      <i/>
      <sz val="14.0"/>
      <color theme="1"/>
      <name val="Calibri"/>
    </font>
    <font>
      <b/>
      <sz val="16.0"/>
      <color theme="1"/>
      <name val="Calibri"/>
    </font>
    <font>
      <sz val="14.0"/>
      <color theme="1"/>
      <name val="Calibri"/>
    </font>
    <font>
      <u/>
      <sz val="11.0"/>
      <color theme="10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0" xfId="0" applyFont="1"/>
    <xf borderId="1" fillId="2" fontId="6" numFmtId="0" xfId="0" applyBorder="1" applyFill="1" applyFont="1"/>
    <xf borderId="1" fillId="2" fontId="6" numFmtId="0" xfId="0" applyAlignment="1" applyBorder="1" applyFont="1">
      <alignment horizontal="center"/>
    </xf>
    <xf borderId="2" fillId="0" fontId="6" numFmtId="0" xfId="0" applyBorder="1" applyFont="1"/>
    <xf borderId="2" fillId="0" fontId="6" numFmtId="164" xfId="0" applyBorder="1" applyFont="1" applyNumberFormat="1"/>
    <xf borderId="0" fillId="0" fontId="6" numFmtId="3" xfId="0" applyFont="1" applyNumberFormat="1"/>
    <xf borderId="0" fillId="0" fontId="7" numFmtId="0" xfId="0" applyFont="1"/>
    <xf borderId="3" fillId="0" fontId="1" numFmtId="0" xfId="0" applyBorder="1" applyFont="1"/>
    <xf quotePrefix="1" borderId="3" fillId="0" fontId="2" numFmtId="0" xfId="0" applyBorder="1" applyFont="1"/>
    <xf borderId="3" fillId="0" fontId="3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0" fontId="6" numFmtId="0" xfId="0" applyAlignment="1" applyBorder="1" applyFont="1">
      <alignment horizont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F2DBDB"/>
          <bgColor rgb="FFF2DBDB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exceleros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1.71"/>
    <col customWidth="1" min="2" max="2" width="21.43"/>
    <col customWidth="1" min="3" max="3" width="2.0"/>
    <col customWidth="1" min="4" max="8" width="11.0"/>
    <col customWidth="1" min="9" max="9" width="12.86"/>
    <col customWidth="1" min="10" max="10" width="2.0"/>
    <col customWidth="1" min="11" max="26" width="9.14"/>
  </cols>
  <sheetData>
    <row r="1" ht="9.75" customHeight="1"/>
    <row r="2" ht="16.5" customHeight="1">
      <c r="B2" s="1" t="s">
        <v>0</v>
      </c>
      <c r="C2" s="1"/>
      <c r="D2" s="2" t="s">
        <v>1</v>
      </c>
      <c r="E2" s="3"/>
      <c r="F2" s="3"/>
      <c r="G2" s="3"/>
      <c r="H2" s="3"/>
      <c r="I2" s="3"/>
      <c r="J2" s="3"/>
      <c r="K2" s="3"/>
      <c r="L2" s="4"/>
    </row>
    <row r="3">
      <c r="B3" s="5" t="s">
        <v>2</v>
      </c>
    </row>
    <row r="4" ht="6.75" customHeight="1">
      <c r="B4" s="5"/>
    </row>
    <row r="5">
      <c r="B5" s="6" t="s">
        <v>3</v>
      </c>
      <c r="D5" s="6">
        <v>2007.0</v>
      </c>
      <c r="E5" s="6">
        <v>2008.0</v>
      </c>
      <c r="F5" s="6">
        <v>2009.0</v>
      </c>
      <c r="G5" s="6">
        <v>2010.0</v>
      </c>
      <c r="H5" s="6">
        <v>2011.0</v>
      </c>
      <c r="I5" s="6" t="s">
        <v>4</v>
      </c>
      <c r="K5" s="7" t="s">
        <v>5</v>
      </c>
      <c r="L5" s="7" t="s">
        <v>6</v>
      </c>
    </row>
    <row r="6" ht="6.75" customHeight="1"/>
    <row r="7">
      <c r="B7" s="8" t="s">
        <v>7</v>
      </c>
      <c r="D7" s="9">
        <v>1572.0</v>
      </c>
      <c r="E7" s="9">
        <v>1807.0</v>
      </c>
      <c r="F7" s="9">
        <v>1991.0</v>
      </c>
      <c r="G7" s="9">
        <v>1592.0</v>
      </c>
      <c r="H7" s="9">
        <v>1981.0</v>
      </c>
      <c r="I7" s="9">
        <v>1996.0</v>
      </c>
      <c r="K7" s="8" t="str">
        <f t="array" ref="K7">index(B7:B31,1,0)</f>
        <v>Argentina</v>
      </c>
      <c r="L7" s="8"/>
    </row>
    <row r="8">
      <c r="B8" s="8" t="s">
        <v>8</v>
      </c>
      <c r="D8" s="9">
        <v>1877.0</v>
      </c>
      <c r="E8" s="9">
        <v>1760.0</v>
      </c>
      <c r="F8" s="9">
        <v>1517.0</v>
      </c>
      <c r="G8" s="9">
        <v>1854.0</v>
      </c>
      <c r="H8" s="9">
        <v>1901.0</v>
      </c>
      <c r="I8" s="9">
        <v>1681.0</v>
      </c>
      <c r="K8" s="8"/>
      <c r="L8" s="8"/>
    </row>
    <row r="9">
      <c r="B9" s="8" t="s">
        <v>9</v>
      </c>
      <c r="D9" s="9">
        <v>1693.0</v>
      </c>
      <c r="E9" s="9">
        <v>1849.0</v>
      </c>
      <c r="F9" s="9">
        <v>1765.0</v>
      </c>
      <c r="G9" s="9">
        <v>1626.0</v>
      </c>
      <c r="H9" s="9">
        <v>1656.0</v>
      </c>
      <c r="I9" s="9">
        <v>1628.0</v>
      </c>
      <c r="K9" s="8"/>
      <c r="L9" s="8"/>
    </row>
    <row r="10">
      <c r="B10" s="8" t="s">
        <v>10</v>
      </c>
      <c r="D10" s="9">
        <v>1965.0</v>
      </c>
      <c r="E10" s="9">
        <v>1801.0</v>
      </c>
      <c r="F10" s="9">
        <v>1753.0</v>
      </c>
      <c r="G10" s="9">
        <v>1957.0</v>
      </c>
      <c r="H10" s="9">
        <v>1676.0</v>
      </c>
      <c r="I10" s="9">
        <v>1750.0</v>
      </c>
      <c r="K10" s="8"/>
      <c r="L10" s="8"/>
    </row>
    <row r="11">
      <c r="B11" s="8" t="s">
        <v>11</v>
      </c>
      <c r="D11" s="9">
        <v>1854.0</v>
      </c>
      <c r="E11" s="9">
        <v>1798.0</v>
      </c>
      <c r="F11" s="9">
        <v>1556.0</v>
      </c>
      <c r="G11" s="9">
        <v>1705.0</v>
      </c>
      <c r="H11" s="9">
        <v>1748.0</v>
      </c>
      <c r="I11" s="9">
        <v>1861.0</v>
      </c>
      <c r="K11" s="8"/>
      <c r="L11" s="8"/>
    </row>
    <row r="12">
      <c r="B12" s="8" t="s">
        <v>12</v>
      </c>
      <c r="D12" s="9">
        <v>1801.0</v>
      </c>
      <c r="E12" s="9">
        <v>1572.0</v>
      </c>
      <c r="F12" s="9">
        <v>1742.0</v>
      </c>
      <c r="G12" s="9">
        <v>1781.0</v>
      </c>
      <c r="H12" s="9">
        <v>1602.0</v>
      </c>
      <c r="I12" s="9">
        <v>1975.0</v>
      </c>
      <c r="K12" s="8"/>
      <c r="L12" s="8"/>
    </row>
    <row r="13">
      <c r="B13" s="8" t="s">
        <v>13</v>
      </c>
      <c r="D13" s="9">
        <v>2000.0</v>
      </c>
      <c r="E13" s="9">
        <v>1898.0</v>
      </c>
      <c r="F13" s="9">
        <v>1879.0</v>
      </c>
      <c r="G13" s="9">
        <v>1933.0</v>
      </c>
      <c r="H13" s="9">
        <v>1915.0</v>
      </c>
      <c r="I13" s="9">
        <v>1699.0</v>
      </c>
      <c r="K13" s="8"/>
      <c r="L13" s="8"/>
    </row>
    <row r="14">
      <c r="B14" s="8" t="s">
        <v>14</v>
      </c>
      <c r="D14" s="9">
        <v>1776.0</v>
      </c>
      <c r="E14" s="9">
        <v>1677.0</v>
      </c>
      <c r="F14" s="9">
        <v>1843.0</v>
      </c>
      <c r="G14" s="9">
        <v>1698.0</v>
      </c>
      <c r="H14" s="9">
        <v>1811.0</v>
      </c>
      <c r="I14" s="9">
        <v>1737.0</v>
      </c>
      <c r="K14" s="8"/>
      <c r="L14" s="8"/>
    </row>
    <row r="15">
      <c r="B15" s="8" t="s">
        <v>15</v>
      </c>
      <c r="D15" s="9">
        <v>1698.0</v>
      </c>
      <c r="E15" s="9">
        <v>1579.0</v>
      </c>
      <c r="F15" s="9">
        <v>1899.0</v>
      </c>
      <c r="G15" s="9">
        <v>1857.0</v>
      </c>
      <c r="H15" s="9">
        <v>1749.0</v>
      </c>
      <c r="I15" s="9">
        <v>1988.0</v>
      </c>
      <c r="K15" s="8"/>
      <c r="L15" s="8"/>
    </row>
    <row r="16">
      <c r="B16" s="8" t="s">
        <v>16</v>
      </c>
      <c r="D16" s="9">
        <v>1652.0</v>
      </c>
      <c r="E16" s="9">
        <v>1795.0</v>
      </c>
      <c r="F16" s="9">
        <v>1654.0</v>
      </c>
      <c r="G16" s="9">
        <v>1769.0</v>
      </c>
      <c r="H16" s="9">
        <v>1770.0</v>
      </c>
      <c r="I16" s="9">
        <v>1727.0</v>
      </c>
      <c r="K16" s="8"/>
      <c r="L16" s="8"/>
    </row>
    <row r="17">
      <c r="B17" s="8" t="s">
        <v>17</v>
      </c>
      <c r="D17" s="9">
        <v>1876.0</v>
      </c>
      <c r="E17" s="9">
        <v>1803.0</v>
      </c>
      <c r="F17" s="9">
        <v>1942.0</v>
      </c>
      <c r="G17" s="9">
        <v>1604.0</v>
      </c>
      <c r="H17" s="9">
        <v>1849.0</v>
      </c>
      <c r="I17" s="9">
        <v>1526.0</v>
      </c>
      <c r="K17" s="8"/>
      <c r="L17" s="8"/>
    </row>
    <row r="18">
      <c r="B18" s="8" t="s">
        <v>18</v>
      </c>
      <c r="D18" s="9">
        <v>1652.0</v>
      </c>
      <c r="E18" s="9">
        <v>1506.0</v>
      </c>
      <c r="F18" s="9">
        <v>1914.0</v>
      </c>
      <c r="G18" s="9">
        <v>1598.0</v>
      </c>
      <c r="H18" s="9">
        <v>1827.0</v>
      </c>
      <c r="I18" s="9">
        <v>1969.0</v>
      </c>
      <c r="K18" s="8"/>
      <c r="L18" s="8"/>
    </row>
    <row r="19">
      <c r="B19" s="8" t="s">
        <v>19</v>
      </c>
      <c r="D19" s="9">
        <v>1977.0</v>
      </c>
      <c r="E19" s="9">
        <v>1744.0</v>
      </c>
      <c r="F19" s="9">
        <v>1843.0</v>
      </c>
      <c r="G19" s="9">
        <v>1939.0</v>
      </c>
      <c r="H19" s="9">
        <v>1952.0</v>
      </c>
      <c r="I19" s="9">
        <v>1757.0</v>
      </c>
      <c r="K19" s="8"/>
      <c r="L19" s="8"/>
    </row>
    <row r="20">
      <c r="B20" s="8" t="s">
        <v>20</v>
      </c>
      <c r="D20" s="9">
        <v>1758.0</v>
      </c>
      <c r="E20" s="9">
        <v>1589.0</v>
      </c>
      <c r="F20" s="9">
        <v>1595.0</v>
      </c>
      <c r="G20" s="9">
        <v>1679.0</v>
      </c>
      <c r="H20" s="9">
        <v>1820.0</v>
      </c>
      <c r="I20" s="9">
        <v>1636.0</v>
      </c>
      <c r="K20" s="8"/>
      <c r="L20" s="8"/>
    </row>
    <row r="21" ht="15.75" customHeight="1">
      <c r="B21" s="8" t="s">
        <v>21</v>
      </c>
      <c r="D21" s="9">
        <v>1776.0</v>
      </c>
      <c r="E21" s="9">
        <v>1500.0</v>
      </c>
      <c r="F21" s="9">
        <v>1968.0</v>
      </c>
      <c r="G21" s="9">
        <v>1667.0</v>
      </c>
      <c r="H21" s="9">
        <v>1782.0</v>
      </c>
      <c r="I21" s="9">
        <v>1684.0</v>
      </c>
      <c r="K21" s="8"/>
      <c r="L21" s="8"/>
    </row>
    <row r="22" ht="15.75" customHeight="1">
      <c r="B22" s="8" t="s">
        <v>22</v>
      </c>
      <c r="D22" s="9">
        <v>1667.0</v>
      </c>
      <c r="E22" s="9">
        <v>1876.0</v>
      </c>
      <c r="F22" s="9">
        <v>1560.0</v>
      </c>
      <c r="G22" s="9">
        <v>1919.0</v>
      </c>
      <c r="H22" s="9">
        <v>1942.0</v>
      </c>
      <c r="I22" s="9">
        <v>1558.0</v>
      </c>
      <c r="K22" s="8"/>
      <c r="L22" s="8"/>
    </row>
    <row r="23" ht="15.75" customHeight="1">
      <c r="B23" s="8" t="s">
        <v>23</v>
      </c>
      <c r="D23" s="9">
        <v>1657.0</v>
      </c>
      <c r="E23" s="9">
        <v>1869.0</v>
      </c>
      <c r="F23" s="9">
        <v>1854.0</v>
      </c>
      <c r="G23" s="9">
        <v>1838.0</v>
      </c>
      <c r="H23" s="9">
        <v>1984.0</v>
      </c>
      <c r="I23" s="9">
        <v>1677.0</v>
      </c>
      <c r="K23" s="8"/>
      <c r="L23" s="8"/>
    </row>
    <row r="24" ht="15.75" customHeight="1">
      <c r="B24" s="8" t="s">
        <v>24</v>
      </c>
      <c r="D24" s="9">
        <v>1612.0</v>
      </c>
      <c r="E24" s="9">
        <v>1918.0</v>
      </c>
      <c r="F24" s="9">
        <v>1837.0</v>
      </c>
      <c r="G24" s="9">
        <v>1915.0</v>
      </c>
      <c r="H24" s="9">
        <v>1666.0</v>
      </c>
      <c r="I24" s="9">
        <v>1636.0</v>
      </c>
      <c r="K24" s="8"/>
      <c r="L24" s="8"/>
    </row>
    <row r="25" ht="15.75" customHeight="1">
      <c r="B25" s="8" t="s">
        <v>25</v>
      </c>
      <c r="D25" s="9">
        <v>1507.0</v>
      </c>
      <c r="E25" s="9">
        <v>1897.0</v>
      </c>
      <c r="F25" s="9">
        <v>1852.0</v>
      </c>
      <c r="G25" s="9">
        <v>1737.0</v>
      </c>
      <c r="H25" s="9">
        <v>1821.0</v>
      </c>
      <c r="I25" s="9">
        <v>1749.0</v>
      </c>
      <c r="K25" s="8"/>
      <c r="L25" s="8"/>
    </row>
    <row r="26" ht="15.75" customHeight="1">
      <c r="B26" s="8" t="s">
        <v>26</v>
      </c>
      <c r="D26" s="9">
        <v>1941.0</v>
      </c>
      <c r="E26" s="9">
        <v>1992.0</v>
      </c>
      <c r="F26" s="9">
        <v>1781.0</v>
      </c>
      <c r="G26" s="9">
        <v>1944.0</v>
      </c>
      <c r="H26" s="9">
        <v>1766.0</v>
      </c>
      <c r="I26" s="9">
        <v>1769.0</v>
      </c>
      <c r="K26" s="8"/>
      <c r="L26" s="8"/>
    </row>
    <row r="27" ht="15.75" customHeight="1">
      <c r="B27" s="8" t="s">
        <v>27</v>
      </c>
      <c r="D27" s="9">
        <v>1900.0</v>
      </c>
      <c r="E27" s="9">
        <v>1850.0</v>
      </c>
      <c r="F27" s="9">
        <v>1676.0</v>
      </c>
      <c r="G27" s="9">
        <v>1509.0</v>
      </c>
      <c r="H27" s="9">
        <v>1804.0</v>
      </c>
      <c r="I27" s="9">
        <v>1543.0</v>
      </c>
      <c r="K27" s="8"/>
      <c r="L27" s="8"/>
    </row>
    <row r="28" ht="15.75" customHeight="1">
      <c r="B28" s="8" t="s">
        <v>28</v>
      </c>
      <c r="D28" s="9">
        <v>1570.0</v>
      </c>
      <c r="E28" s="9">
        <v>1518.0</v>
      </c>
      <c r="F28" s="9">
        <v>1543.0</v>
      </c>
      <c r="G28" s="9">
        <v>1904.0</v>
      </c>
      <c r="H28" s="9">
        <v>1987.0</v>
      </c>
      <c r="I28" s="9">
        <v>1994.0</v>
      </c>
      <c r="K28" s="8"/>
      <c r="L28" s="8"/>
    </row>
    <row r="29" ht="15.75" customHeight="1">
      <c r="B29" s="8" t="s">
        <v>29</v>
      </c>
      <c r="D29" s="9">
        <v>1805.0</v>
      </c>
      <c r="E29" s="9">
        <v>1764.0</v>
      </c>
      <c r="F29" s="9">
        <v>1696.0</v>
      </c>
      <c r="G29" s="9">
        <v>1874.0</v>
      </c>
      <c r="H29" s="9">
        <v>1883.0</v>
      </c>
      <c r="I29" s="9">
        <v>1620.0</v>
      </c>
      <c r="K29" s="8"/>
      <c r="L29" s="8"/>
    </row>
    <row r="30" ht="15.75" customHeight="1">
      <c r="B30" s="8" t="s">
        <v>30</v>
      </c>
      <c r="D30" s="9">
        <v>1855.0</v>
      </c>
      <c r="E30" s="9">
        <v>1640.0</v>
      </c>
      <c r="F30" s="9">
        <v>1931.0</v>
      </c>
      <c r="G30" s="9">
        <v>1821.0</v>
      </c>
      <c r="H30" s="9">
        <v>2000.0</v>
      </c>
      <c r="I30" s="9">
        <v>1945.0</v>
      </c>
      <c r="K30" s="8"/>
      <c r="L30" s="8"/>
    </row>
    <row r="31" ht="15.75" customHeight="1">
      <c r="B31" s="8" t="s">
        <v>31</v>
      </c>
      <c r="D31" s="9">
        <v>1869.0</v>
      </c>
      <c r="E31" s="9">
        <v>1868.0</v>
      </c>
      <c r="F31" s="9">
        <v>1540.0</v>
      </c>
      <c r="G31" s="9">
        <v>1758.0</v>
      </c>
      <c r="H31" s="9">
        <v>1693.0</v>
      </c>
      <c r="I31" s="9">
        <v>1856.0</v>
      </c>
      <c r="K31" s="8"/>
      <c r="L31" s="8"/>
    </row>
    <row r="32" ht="15.75" customHeight="1">
      <c r="D32" s="10"/>
    </row>
    <row r="33" ht="15.75" customHeight="1">
      <c r="D33" s="10" t="s">
        <v>32</v>
      </c>
    </row>
    <row r="34" ht="15.75" customHeight="1">
      <c r="D34" s="10" t="s">
        <v>33</v>
      </c>
    </row>
    <row r="35" ht="15.75" customHeight="1"/>
    <row r="36" ht="15.75" customHeight="1">
      <c r="D36" s="11" t="s">
        <v>34</v>
      </c>
    </row>
    <row r="37" ht="15.75" customHeight="1">
      <c r="D37" s="10" t="s">
        <v>35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1.71"/>
    <col customWidth="1" min="2" max="2" width="21.43"/>
    <col customWidth="1" min="3" max="3" width="2.0"/>
    <col customWidth="1" min="4" max="8" width="11.0"/>
    <col customWidth="1" min="9" max="9" width="12.86"/>
    <col customWidth="1" min="10" max="10" width="2.0"/>
    <col customWidth="1" min="11" max="11" width="9.14"/>
    <col customWidth="1" min="12" max="12" width="19.43"/>
    <col customWidth="1" min="13" max="26" width="10.71"/>
  </cols>
  <sheetData>
    <row r="1" ht="5.25" customHeight="1"/>
    <row r="2" ht="16.5" customHeight="1">
      <c r="B2" s="12" t="s">
        <v>0</v>
      </c>
      <c r="C2" s="12"/>
      <c r="D2" s="13" t="s">
        <v>1</v>
      </c>
      <c r="E2" s="14"/>
      <c r="F2" s="14"/>
      <c r="G2" s="14"/>
      <c r="H2" s="14"/>
      <c r="I2" s="14"/>
      <c r="J2" s="3"/>
      <c r="K2" s="3"/>
      <c r="L2" s="4" t="s">
        <v>36</v>
      </c>
    </row>
    <row r="3">
      <c r="B3" s="15" t="s">
        <v>2</v>
      </c>
    </row>
    <row r="4" ht="6.75" customHeight="1">
      <c r="B4" s="5"/>
    </row>
    <row r="5">
      <c r="B5" s="16" t="s">
        <v>3</v>
      </c>
      <c r="C5" s="17"/>
      <c r="D5" s="16">
        <v>2007.0</v>
      </c>
      <c r="E5" s="16">
        <v>2008.0</v>
      </c>
      <c r="F5" s="16">
        <v>2009.0</v>
      </c>
      <c r="G5" s="16">
        <v>2010.0</v>
      </c>
      <c r="H5" s="16">
        <v>2011.0</v>
      </c>
      <c r="I5" s="16" t="s">
        <v>4</v>
      </c>
      <c r="J5" s="17"/>
      <c r="K5" s="16" t="s">
        <v>5</v>
      </c>
      <c r="L5" s="16" t="s">
        <v>6</v>
      </c>
    </row>
    <row r="6" ht="6.75" customHeight="1"/>
    <row r="7">
      <c r="B7" s="8" t="s">
        <v>7</v>
      </c>
      <c r="D7" s="9">
        <v>1572.0</v>
      </c>
      <c r="E7" s="9">
        <v>1807.0</v>
      </c>
      <c r="F7" s="9">
        <v>1991.0</v>
      </c>
      <c r="G7" s="9">
        <v>1592.0</v>
      </c>
      <c r="H7" s="9">
        <v>1981.0</v>
      </c>
      <c r="I7" s="9">
        <v>1996.0</v>
      </c>
      <c r="K7" s="9">
        <f t="shared" ref="K7:K31" si="1">MAX(D7:I7)</f>
        <v>1996</v>
      </c>
      <c r="L7" s="18" t="str">
        <f t="shared" ref="L7:L31" si="2">INDEX($D$5:$I$5,MATCH(K7,D7:I7,0))</f>
        <v>2012 Previsto</v>
      </c>
    </row>
    <row r="8">
      <c r="B8" s="8" t="s">
        <v>8</v>
      </c>
      <c r="D8" s="9">
        <v>1877.0</v>
      </c>
      <c r="E8" s="9">
        <v>1760.0</v>
      </c>
      <c r="F8" s="9">
        <v>1517.0</v>
      </c>
      <c r="G8" s="9">
        <v>1854.0</v>
      </c>
      <c r="H8" s="9">
        <v>1901.0</v>
      </c>
      <c r="I8" s="9">
        <v>1681.0</v>
      </c>
      <c r="K8" s="9">
        <f t="shared" si="1"/>
        <v>1901</v>
      </c>
      <c r="L8" s="18">
        <f t="shared" si="2"/>
        <v>2011</v>
      </c>
    </row>
    <row r="9">
      <c r="B9" s="8" t="s">
        <v>9</v>
      </c>
      <c r="D9" s="9">
        <v>1693.0</v>
      </c>
      <c r="E9" s="9">
        <v>1849.0</v>
      </c>
      <c r="F9" s="9">
        <v>1765.0</v>
      </c>
      <c r="G9" s="9">
        <v>1626.0</v>
      </c>
      <c r="H9" s="9">
        <v>1656.0</v>
      </c>
      <c r="I9" s="9">
        <v>1628.0</v>
      </c>
      <c r="K9" s="9">
        <f t="shared" si="1"/>
        <v>1849</v>
      </c>
      <c r="L9" s="18">
        <f t="shared" si="2"/>
        <v>2008</v>
      </c>
    </row>
    <row r="10">
      <c r="B10" s="8" t="s">
        <v>10</v>
      </c>
      <c r="D10" s="9">
        <v>1965.0</v>
      </c>
      <c r="E10" s="9">
        <v>1801.0</v>
      </c>
      <c r="F10" s="9">
        <v>1753.0</v>
      </c>
      <c r="G10" s="9">
        <v>1957.0</v>
      </c>
      <c r="H10" s="9">
        <v>1676.0</v>
      </c>
      <c r="I10" s="9">
        <v>1750.0</v>
      </c>
      <c r="K10" s="9">
        <f t="shared" si="1"/>
        <v>1965</v>
      </c>
      <c r="L10" s="18">
        <f t="shared" si="2"/>
        <v>2007</v>
      </c>
    </row>
    <row r="11">
      <c r="B11" s="8" t="s">
        <v>11</v>
      </c>
      <c r="D11" s="9">
        <v>1854.0</v>
      </c>
      <c r="E11" s="9">
        <v>1798.0</v>
      </c>
      <c r="F11" s="9">
        <v>1556.0</v>
      </c>
      <c r="G11" s="9">
        <v>1705.0</v>
      </c>
      <c r="H11" s="9">
        <v>1748.0</v>
      </c>
      <c r="I11" s="9">
        <v>1861.0</v>
      </c>
      <c r="K11" s="9">
        <f t="shared" si="1"/>
        <v>1861</v>
      </c>
      <c r="L11" s="18" t="str">
        <f t="shared" si="2"/>
        <v>2012 Previsto</v>
      </c>
    </row>
    <row r="12">
      <c r="B12" s="8" t="s">
        <v>12</v>
      </c>
      <c r="D12" s="9">
        <v>1801.0</v>
      </c>
      <c r="E12" s="9">
        <v>1572.0</v>
      </c>
      <c r="F12" s="9">
        <v>1742.0</v>
      </c>
      <c r="G12" s="9">
        <v>1781.0</v>
      </c>
      <c r="H12" s="9">
        <v>1602.0</v>
      </c>
      <c r="I12" s="9">
        <v>1975.0</v>
      </c>
      <c r="K12" s="9">
        <f t="shared" si="1"/>
        <v>1975</v>
      </c>
      <c r="L12" s="18" t="str">
        <f t="shared" si="2"/>
        <v>2012 Previsto</v>
      </c>
    </row>
    <row r="13">
      <c r="B13" s="8" t="s">
        <v>13</v>
      </c>
      <c r="D13" s="9">
        <v>2000.0</v>
      </c>
      <c r="E13" s="9">
        <v>1898.0</v>
      </c>
      <c r="F13" s="9">
        <v>1879.0</v>
      </c>
      <c r="G13" s="9">
        <v>1933.0</v>
      </c>
      <c r="H13" s="9">
        <v>1915.0</v>
      </c>
      <c r="I13" s="9">
        <v>1699.0</v>
      </c>
      <c r="K13" s="9">
        <f t="shared" si="1"/>
        <v>2000</v>
      </c>
      <c r="L13" s="18">
        <f t="shared" si="2"/>
        <v>2007</v>
      </c>
    </row>
    <row r="14">
      <c r="B14" s="8" t="s">
        <v>14</v>
      </c>
      <c r="D14" s="9">
        <v>1776.0</v>
      </c>
      <c r="E14" s="9">
        <v>1677.0</v>
      </c>
      <c r="F14" s="9">
        <v>1843.0</v>
      </c>
      <c r="G14" s="9">
        <v>1698.0</v>
      </c>
      <c r="H14" s="9">
        <v>1811.0</v>
      </c>
      <c r="I14" s="9">
        <v>1737.0</v>
      </c>
      <c r="K14" s="9">
        <f t="shared" si="1"/>
        <v>1843</v>
      </c>
      <c r="L14" s="18">
        <f t="shared" si="2"/>
        <v>2009</v>
      </c>
    </row>
    <row r="15">
      <c r="B15" s="8" t="s">
        <v>15</v>
      </c>
      <c r="D15" s="9">
        <v>1698.0</v>
      </c>
      <c r="E15" s="9">
        <v>1579.0</v>
      </c>
      <c r="F15" s="9">
        <v>1899.0</v>
      </c>
      <c r="G15" s="9">
        <v>1857.0</v>
      </c>
      <c r="H15" s="9">
        <v>1749.0</v>
      </c>
      <c r="I15" s="9">
        <v>1988.0</v>
      </c>
      <c r="K15" s="9">
        <f t="shared" si="1"/>
        <v>1988</v>
      </c>
      <c r="L15" s="18" t="str">
        <f t="shared" si="2"/>
        <v>2012 Previsto</v>
      </c>
    </row>
    <row r="16">
      <c r="B16" s="8" t="s">
        <v>16</v>
      </c>
      <c r="D16" s="9">
        <v>1652.0</v>
      </c>
      <c r="E16" s="9">
        <v>1795.0</v>
      </c>
      <c r="F16" s="9">
        <v>1654.0</v>
      </c>
      <c r="G16" s="9">
        <v>1769.0</v>
      </c>
      <c r="H16" s="9">
        <v>1770.0</v>
      </c>
      <c r="I16" s="9">
        <v>1727.0</v>
      </c>
      <c r="K16" s="9">
        <f t="shared" si="1"/>
        <v>1795</v>
      </c>
      <c r="L16" s="18">
        <f t="shared" si="2"/>
        <v>2008</v>
      </c>
    </row>
    <row r="17">
      <c r="B17" s="8" t="s">
        <v>17</v>
      </c>
      <c r="D17" s="9">
        <v>1876.0</v>
      </c>
      <c r="E17" s="9">
        <v>1803.0</v>
      </c>
      <c r="F17" s="9">
        <v>1942.0</v>
      </c>
      <c r="G17" s="9">
        <v>1604.0</v>
      </c>
      <c r="H17" s="9">
        <v>1849.0</v>
      </c>
      <c r="I17" s="9">
        <v>1526.0</v>
      </c>
      <c r="K17" s="9">
        <f t="shared" si="1"/>
        <v>1942</v>
      </c>
      <c r="L17" s="18">
        <f t="shared" si="2"/>
        <v>2009</v>
      </c>
    </row>
    <row r="18">
      <c r="B18" s="8" t="s">
        <v>18</v>
      </c>
      <c r="D18" s="9">
        <v>1652.0</v>
      </c>
      <c r="E18" s="9">
        <v>1506.0</v>
      </c>
      <c r="F18" s="9">
        <v>1914.0</v>
      </c>
      <c r="G18" s="9">
        <v>1598.0</v>
      </c>
      <c r="H18" s="9">
        <v>1827.0</v>
      </c>
      <c r="I18" s="9">
        <v>1969.0</v>
      </c>
      <c r="K18" s="9">
        <f t="shared" si="1"/>
        <v>1969</v>
      </c>
      <c r="L18" s="18" t="str">
        <f t="shared" si="2"/>
        <v>2012 Previsto</v>
      </c>
    </row>
    <row r="19">
      <c r="B19" s="8" t="s">
        <v>19</v>
      </c>
      <c r="D19" s="9">
        <v>1977.0</v>
      </c>
      <c r="E19" s="9">
        <v>1744.0</v>
      </c>
      <c r="F19" s="9">
        <v>1843.0</v>
      </c>
      <c r="G19" s="9">
        <v>1939.0</v>
      </c>
      <c r="H19" s="9">
        <v>1952.0</v>
      </c>
      <c r="I19" s="9">
        <v>1757.0</v>
      </c>
      <c r="K19" s="9">
        <f t="shared" si="1"/>
        <v>1977</v>
      </c>
      <c r="L19" s="18">
        <f t="shared" si="2"/>
        <v>2007</v>
      </c>
    </row>
    <row r="20">
      <c r="B20" s="8" t="s">
        <v>20</v>
      </c>
      <c r="D20" s="9">
        <v>1758.0</v>
      </c>
      <c r="E20" s="9">
        <v>1589.0</v>
      </c>
      <c r="F20" s="9">
        <v>1595.0</v>
      </c>
      <c r="G20" s="9">
        <v>1679.0</v>
      </c>
      <c r="H20" s="9">
        <v>1820.0</v>
      </c>
      <c r="I20" s="9">
        <v>1636.0</v>
      </c>
      <c r="K20" s="9">
        <f t="shared" si="1"/>
        <v>1820</v>
      </c>
      <c r="L20" s="18">
        <f t="shared" si="2"/>
        <v>2011</v>
      </c>
    </row>
    <row r="21" ht="15.75" customHeight="1">
      <c r="B21" s="8" t="s">
        <v>21</v>
      </c>
      <c r="D21" s="9">
        <v>1776.0</v>
      </c>
      <c r="E21" s="9">
        <v>1500.0</v>
      </c>
      <c r="F21" s="9">
        <v>1968.0</v>
      </c>
      <c r="G21" s="9">
        <v>1667.0</v>
      </c>
      <c r="H21" s="9">
        <v>1782.0</v>
      </c>
      <c r="I21" s="9">
        <v>1684.0</v>
      </c>
      <c r="K21" s="9">
        <f t="shared" si="1"/>
        <v>1968</v>
      </c>
      <c r="L21" s="18">
        <f t="shared" si="2"/>
        <v>2009</v>
      </c>
    </row>
    <row r="22" ht="15.75" customHeight="1">
      <c r="B22" s="8" t="s">
        <v>22</v>
      </c>
      <c r="D22" s="9">
        <v>1667.0</v>
      </c>
      <c r="E22" s="9">
        <v>1876.0</v>
      </c>
      <c r="F22" s="9">
        <v>1560.0</v>
      </c>
      <c r="G22" s="9">
        <v>1919.0</v>
      </c>
      <c r="H22" s="9">
        <v>1942.0</v>
      </c>
      <c r="I22" s="9">
        <v>1558.0</v>
      </c>
      <c r="K22" s="9">
        <f t="shared" si="1"/>
        <v>1942</v>
      </c>
      <c r="L22" s="18">
        <f t="shared" si="2"/>
        <v>2011</v>
      </c>
    </row>
    <row r="23" ht="15.75" customHeight="1">
      <c r="B23" s="8" t="s">
        <v>23</v>
      </c>
      <c r="D23" s="9">
        <v>1657.0</v>
      </c>
      <c r="E23" s="9">
        <v>1869.0</v>
      </c>
      <c r="F23" s="9">
        <v>1854.0</v>
      </c>
      <c r="G23" s="9">
        <v>1838.0</v>
      </c>
      <c r="H23" s="9">
        <v>1984.0</v>
      </c>
      <c r="I23" s="9">
        <v>1677.0</v>
      </c>
      <c r="K23" s="9">
        <f t="shared" si="1"/>
        <v>1984</v>
      </c>
      <c r="L23" s="18">
        <f t="shared" si="2"/>
        <v>2011</v>
      </c>
    </row>
    <row r="24" ht="15.75" customHeight="1">
      <c r="B24" s="8" t="s">
        <v>24</v>
      </c>
      <c r="D24" s="9">
        <v>1612.0</v>
      </c>
      <c r="E24" s="9">
        <v>1918.0</v>
      </c>
      <c r="F24" s="9">
        <v>1837.0</v>
      </c>
      <c r="G24" s="9">
        <v>1915.0</v>
      </c>
      <c r="H24" s="9">
        <v>1666.0</v>
      </c>
      <c r="I24" s="9">
        <v>1636.0</v>
      </c>
      <c r="K24" s="9">
        <f t="shared" si="1"/>
        <v>1918</v>
      </c>
      <c r="L24" s="18">
        <f t="shared" si="2"/>
        <v>2008</v>
      </c>
    </row>
    <row r="25" ht="15.75" customHeight="1">
      <c r="B25" s="8" t="s">
        <v>25</v>
      </c>
      <c r="D25" s="9">
        <v>1507.0</v>
      </c>
      <c r="E25" s="9">
        <v>1897.0</v>
      </c>
      <c r="F25" s="9">
        <v>1852.0</v>
      </c>
      <c r="G25" s="9">
        <v>1737.0</v>
      </c>
      <c r="H25" s="9">
        <v>1821.0</v>
      </c>
      <c r="I25" s="9">
        <v>1749.0</v>
      </c>
      <c r="K25" s="9">
        <f t="shared" si="1"/>
        <v>1897</v>
      </c>
      <c r="L25" s="18">
        <f t="shared" si="2"/>
        <v>2008</v>
      </c>
    </row>
    <row r="26" ht="15.75" customHeight="1">
      <c r="B26" s="8" t="s">
        <v>26</v>
      </c>
      <c r="D26" s="9">
        <v>1941.0</v>
      </c>
      <c r="E26" s="9">
        <v>1992.0</v>
      </c>
      <c r="F26" s="9">
        <v>1781.0</v>
      </c>
      <c r="G26" s="9">
        <v>1944.0</v>
      </c>
      <c r="H26" s="9">
        <v>1766.0</v>
      </c>
      <c r="I26" s="9">
        <v>1769.0</v>
      </c>
      <c r="K26" s="9">
        <f t="shared" si="1"/>
        <v>1992</v>
      </c>
      <c r="L26" s="18">
        <f t="shared" si="2"/>
        <v>2008</v>
      </c>
    </row>
    <row r="27" ht="15.75" customHeight="1">
      <c r="B27" s="8" t="s">
        <v>27</v>
      </c>
      <c r="D27" s="9">
        <v>1900.0</v>
      </c>
      <c r="E27" s="9">
        <v>1850.0</v>
      </c>
      <c r="F27" s="9">
        <v>1676.0</v>
      </c>
      <c r="G27" s="9">
        <v>1509.0</v>
      </c>
      <c r="H27" s="9">
        <v>1804.0</v>
      </c>
      <c r="I27" s="9">
        <v>1543.0</v>
      </c>
      <c r="K27" s="9">
        <f t="shared" si="1"/>
        <v>1900</v>
      </c>
      <c r="L27" s="18">
        <f t="shared" si="2"/>
        <v>2007</v>
      </c>
    </row>
    <row r="28" ht="15.75" customHeight="1">
      <c r="B28" s="8" t="s">
        <v>28</v>
      </c>
      <c r="D28" s="9">
        <v>1570.0</v>
      </c>
      <c r="E28" s="9">
        <v>1518.0</v>
      </c>
      <c r="F28" s="9">
        <v>1543.0</v>
      </c>
      <c r="G28" s="9">
        <v>1904.0</v>
      </c>
      <c r="H28" s="9">
        <v>1987.0</v>
      </c>
      <c r="I28" s="9">
        <v>1994.0</v>
      </c>
      <c r="K28" s="9">
        <f t="shared" si="1"/>
        <v>1994</v>
      </c>
      <c r="L28" s="18" t="str">
        <f t="shared" si="2"/>
        <v>2012 Previsto</v>
      </c>
    </row>
    <row r="29" ht="15.75" customHeight="1">
      <c r="B29" s="8" t="s">
        <v>29</v>
      </c>
      <c r="D29" s="9">
        <v>1805.0</v>
      </c>
      <c r="E29" s="9">
        <v>1764.0</v>
      </c>
      <c r="F29" s="9">
        <v>1696.0</v>
      </c>
      <c r="G29" s="9">
        <v>1874.0</v>
      </c>
      <c r="H29" s="9">
        <v>1883.0</v>
      </c>
      <c r="I29" s="9">
        <v>1620.0</v>
      </c>
      <c r="K29" s="9">
        <f t="shared" si="1"/>
        <v>1883</v>
      </c>
      <c r="L29" s="18">
        <f t="shared" si="2"/>
        <v>2011</v>
      </c>
    </row>
    <row r="30" ht="15.75" customHeight="1">
      <c r="B30" s="8" t="s">
        <v>30</v>
      </c>
      <c r="D30" s="9">
        <v>1855.0</v>
      </c>
      <c r="E30" s="9">
        <v>1640.0</v>
      </c>
      <c r="F30" s="9">
        <v>1931.0</v>
      </c>
      <c r="G30" s="9">
        <v>1821.0</v>
      </c>
      <c r="H30" s="9">
        <v>2000.0</v>
      </c>
      <c r="I30" s="9">
        <v>1945.0</v>
      </c>
      <c r="K30" s="9">
        <f t="shared" si="1"/>
        <v>2000</v>
      </c>
      <c r="L30" s="18">
        <f t="shared" si="2"/>
        <v>2011</v>
      </c>
    </row>
    <row r="31" ht="15.75" customHeight="1">
      <c r="B31" s="8" t="s">
        <v>31</v>
      </c>
      <c r="D31" s="9">
        <v>1869.0</v>
      </c>
      <c r="E31" s="9">
        <v>1868.0</v>
      </c>
      <c r="F31" s="9">
        <v>1540.0</v>
      </c>
      <c r="G31" s="9">
        <v>1758.0</v>
      </c>
      <c r="H31" s="9">
        <v>1693.0</v>
      </c>
      <c r="I31" s="9">
        <v>1856.0</v>
      </c>
      <c r="K31" s="9">
        <f t="shared" si="1"/>
        <v>1869</v>
      </c>
      <c r="L31" s="18">
        <f t="shared" si="2"/>
        <v>2007</v>
      </c>
    </row>
    <row r="32" ht="15.75" customHeight="1">
      <c r="D32" s="10"/>
    </row>
    <row r="33" ht="15.75" hidden="1" customHeight="1">
      <c r="D33" s="10"/>
    </row>
    <row r="34" ht="15.75" hidden="1" customHeight="1">
      <c r="D34" s="10"/>
    </row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7">
    <cfRule type="expression" dxfId="0" priority="1">
      <formula>I7=$K7</formula>
    </cfRule>
  </conditionalFormatting>
  <conditionalFormatting sqref="D7:H7">
    <cfRule type="expression" dxfId="0" priority="2">
      <formula>D7=$K7</formula>
    </cfRule>
  </conditionalFormatting>
  <conditionalFormatting sqref="I8:I31">
    <cfRule type="expression" dxfId="0" priority="3">
      <formula>I8=$K8</formula>
    </cfRule>
  </conditionalFormatting>
  <conditionalFormatting sqref="D8:H31">
    <cfRule type="expression" dxfId="0" priority="4">
      <formula>D8=$K8</formula>
    </cfRule>
  </conditionalFormatting>
  <hyperlinks>
    <hyperlink r:id="rId1" ref="L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2012-02-17T09:23:31Z</dcterms:created>
  <dc:creator>Nacho</dc:creator>
</cp:coreProperties>
</file>