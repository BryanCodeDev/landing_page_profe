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ecnico08\Downloads\"/>
    </mc:Choice>
  </mc:AlternateContent>
  <xr:revisionPtr revIDLastSave="0" documentId="13_ncr:1_{5DBB2B6A-222D-43AB-B042-13424B908BBD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Intro" sheetId="7" r:id="rId1"/>
    <sheet name="Ejercicio 1" sheetId="1" r:id="rId2"/>
    <sheet name="Ejercicio 2" sheetId="3" r:id="rId3"/>
    <sheet name="Ejercicio 3" sheetId="5" r:id="rId4"/>
    <sheet name="Ejercicio 4" sheetId="6" r:id="rId5"/>
    <sheet name="Comodín - Asterisco 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9" l="1"/>
  <c r="H5" i="6" a="1"/>
  <c r="H5" i="6" s="1"/>
  <c r="F15" i="6"/>
  <c r="F14" i="6"/>
  <c r="F13" i="6"/>
  <c r="F12" i="6"/>
  <c r="F11" i="6"/>
  <c r="F10" i="6"/>
  <c r="F9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<sst xmlns="http://schemas.openxmlformats.org/spreadsheetml/2006/main" count="125" uniqueCount="105">
  <si>
    <t>Fecha</t>
  </si>
  <si>
    <t>Enero</t>
  </si>
  <si>
    <t>Febrero</t>
  </si>
  <si>
    <t>Marzo</t>
  </si>
  <si>
    <t>Mayo</t>
  </si>
  <si>
    <t>Junio</t>
  </si>
  <si>
    <t>Julio</t>
  </si>
  <si>
    <t>Agosto</t>
  </si>
  <si>
    <t>Setiembre</t>
  </si>
  <si>
    <t>Octubre</t>
  </si>
  <si>
    <t xml:space="preserve">Noviembre </t>
  </si>
  <si>
    <t>Diciembre</t>
  </si>
  <si>
    <t>Cuaderno 4D</t>
  </si>
  <si>
    <t>Lapiceros A11</t>
  </si>
  <si>
    <t>Calculadora z-2</t>
  </si>
  <si>
    <t>Abril</t>
  </si>
  <si>
    <t>Productos</t>
  </si>
  <si>
    <t>Calculadora z-1</t>
  </si>
  <si>
    <t>Billetera</t>
  </si>
  <si>
    <t>Mochila Porta</t>
  </si>
  <si>
    <t>Vikingo</t>
  </si>
  <si>
    <t>Ventas 2019</t>
  </si>
  <si>
    <t>Código</t>
  </si>
  <si>
    <t>Pro_001</t>
  </si>
  <si>
    <t>Cartuchera B1</t>
  </si>
  <si>
    <t>Papel A4</t>
  </si>
  <si>
    <t>Lapicero Vel-1</t>
  </si>
  <si>
    <t>Borrador Blanco</t>
  </si>
  <si>
    <t>Porta Lapicero</t>
  </si>
  <si>
    <t>Calculadora R3</t>
  </si>
  <si>
    <t>Scolapices</t>
  </si>
  <si>
    <t>Colores Largos 12</t>
  </si>
  <si>
    <t>Corrector Artesco</t>
  </si>
  <si>
    <t>Cuaderno Temático</t>
  </si>
  <si>
    <t>Pegamento Uhu</t>
  </si>
  <si>
    <t>Pro_002</t>
  </si>
  <si>
    <t>Pro_003</t>
  </si>
  <si>
    <t>Pro_004</t>
  </si>
  <si>
    <t>Pro_005</t>
  </si>
  <si>
    <t>Pro_006</t>
  </si>
  <si>
    <t>Pro_007</t>
  </si>
  <si>
    <t>Pro_008</t>
  </si>
  <si>
    <t>Pro_009</t>
  </si>
  <si>
    <t>Pro_010</t>
  </si>
  <si>
    <t>Pro_011</t>
  </si>
  <si>
    <t>Pro_012</t>
  </si>
  <si>
    <t>Pro_013</t>
  </si>
  <si>
    <t>Pro_014</t>
  </si>
  <si>
    <t>Pro_015</t>
  </si>
  <si>
    <t>Pro_016</t>
  </si>
  <si>
    <t>Pro_017</t>
  </si>
  <si>
    <t>Pro_018</t>
  </si>
  <si>
    <t>N° Ventas Maximo</t>
  </si>
  <si>
    <t>N° Ventas Mínimo</t>
  </si>
  <si>
    <t>Vendedor</t>
  </si>
  <si>
    <t xml:space="preserve">Ventas 2019 </t>
  </si>
  <si>
    <t>Camilo Sanchez</t>
  </si>
  <si>
    <t>Miguel Sandoval</t>
  </si>
  <si>
    <t>Percy del Aguila</t>
  </si>
  <si>
    <t>Luis Cárdenas</t>
  </si>
  <si>
    <t>Julio Días</t>
  </si>
  <si>
    <t>Bonos</t>
  </si>
  <si>
    <t>PRODUCTO</t>
  </si>
  <si>
    <t>MANZANA</t>
  </si>
  <si>
    <t>UVA</t>
  </si>
  <si>
    <t>PERA</t>
  </si>
  <si>
    <t>BANANA</t>
  </si>
  <si>
    <t>CEREZA</t>
  </si>
  <si>
    <t>INICIO</t>
  </si>
  <si>
    <t>FINALIZACIÓN</t>
  </si>
  <si>
    <t>TOTAL</t>
  </si>
  <si>
    <t>PRECIO</t>
  </si>
  <si>
    <t>Alumnos</t>
  </si>
  <si>
    <t>Nota 1</t>
  </si>
  <si>
    <t>Nota 2</t>
  </si>
  <si>
    <t>Nota 3</t>
  </si>
  <si>
    <t>Promedio</t>
  </si>
  <si>
    <t>Carlos Vasquez</t>
  </si>
  <si>
    <t>Julio Caseres</t>
  </si>
  <si>
    <t>Miguel Valqui</t>
  </si>
  <si>
    <t>Fila (Alumno)</t>
  </si>
  <si>
    <t>Columna (Alumnos, Nota1, Nota 2, Nota 3, Promedio)</t>
  </si>
  <si>
    <t>Lizeth Chavez Lozano</t>
  </si>
  <si>
    <t>Luis Condori Picuro</t>
  </si>
  <si>
    <t>María del Águila Iberico</t>
  </si>
  <si>
    <t>Carlos Guerrero Vela</t>
  </si>
  <si>
    <t>Manuel Aguilar Terrones</t>
  </si>
  <si>
    <t>Franz  Chavez Peres</t>
  </si>
  <si>
    <t>Paco Sandoval Iberico</t>
  </si>
  <si>
    <t>Josué Marco Iberico Guerrero</t>
  </si>
  <si>
    <t>*</t>
  </si>
  <si>
    <t>José Francisco Sanchez</t>
  </si>
  <si>
    <t>Qué deseas buscar ?</t>
  </si>
  <si>
    <t>Curso de Excel Intermedio</t>
  </si>
  <si>
    <t>Función BUSCARX - Excel 365</t>
  </si>
  <si>
    <r>
      <t>=</t>
    </r>
    <r>
      <rPr>
        <b/>
        <sz val="22"/>
        <color rgb="FFFF0000"/>
        <rFont val="Roboto Condensed"/>
        <scheme val="minor"/>
      </rPr>
      <t>BUSCARX</t>
    </r>
    <r>
      <rPr>
        <b/>
        <sz val="22"/>
        <color rgb="FF00B0F0"/>
        <rFont val="Roboto Condensed"/>
        <scheme val="minor"/>
      </rPr>
      <t>(</t>
    </r>
    <r>
      <rPr>
        <b/>
        <sz val="22"/>
        <color rgb="FF002060"/>
        <rFont val="Roboto Condensed"/>
        <scheme val="minor"/>
      </rPr>
      <t>VALOR B</t>
    </r>
    <r>
      <rPr>
        <b/>
        <sz val="22"/>
        <color theme="1"/>
        <rFont val="Roboto Condensed"/>
        <scheme val="minor"/>
      </rPr>
      <t xml:space="preserve">; </t>
    </r>
    <r>
      <rPr>
        <b/>
        <sz val="22"/>
        <color theme="5" tint="-0.249977111117893"/>
        <rFont val="Roboto Condensed"/>
        <scheme val="minor"/>
      </rPr>
      <t>COLUMNA MATRIZ</t>
    </r>
    <r>
      <rPr>
        <b/>
        <sz val="22"/>
        <color theme="1"/>
        <rFont val="Roboto Condensed"/>
        <scheme val="minor"/>
      </rPr>
      <t>;</t>
    </r>
    <r>
      <rPr>
        <b/>
        <sz val="22"/>
        <color theme="0"/>
        <rFont val="Roboto Condensed"/>
        <scheme val="minor"/>
      </rPr>
      <t xml:space="preserve"> </t>
    </r>
    <r>
      <rPr>
        <b/>
        <sz val="22"/>
        <color rgb="FF00B050"/>
        <rFont val="Roboto Condensed"/>
        <scheme val="minor"/>
      </rPr>
      <t>COLUMNA DE VUELTA</t>
    </r>
    <r>
      <rPr>
        <b/>
        <sz val="22"/>
        <color rgb="FF00B0F0"/>
        <rFont val="Roboto Condensed"/>
        <scheme val="minor"/>
      </rPr>
      <t>)</t>
    </r>
  </si>
  <si>
    <t>Sintaxis de la función BUSCARX</t>
  </si>
  <si>
    <t>La función BUSCARX solo está disponible para los programas dentro del paquete de Microsoft 365 (con lo que se conoce como Excel 365)</t>
  </si>
  <si>
    <t>Andrea Rojas</t>
  </si>
  <si>
    <t>Betsy López</t>
  </si>
  <si>
    <t>Brenda Ortega</t>
  </si>
  <si>
    <t>Karla Chávez</t>
  </si>
  <si>
    <t>Karen Arbulú</t>
  </si>
  <si>
    <t>Merly Vásquez</t>
  </si>
  <si>
    <t>ma*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</si>
</sst>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&quot;#,##0.00"/>
    <numFmt numFmtId="165" formatCode="&quot;S/.&quot;#,##0.00"/>
    <numFmt numFmtId="166" formatCode="0.0"/>
  </numFmts>
  <fonts count="21" x14ac:knownFonts="1">
    <font>
      <sz val="11"/>
      <color theme="1"/>
      <name val="Roboto Condensed"/>
      <family val="2"/>
      <scheme val="minor"/>
    </font>
    <font>
      <b/>
      <sz val="16"/>
      <color theme="1"/>
      <name val="Roboto Condensed"/>
      <family val="2"/>
      <scheme val="minor"/>
    </font>
    <font>
      <sz val="8"/>
      <name val="Roboto Condensed"/>
      <family val="2"/>
      <scheme val="minor"/>
    </font>
    <font>
      <sz val="16"/>
      <color theme="1"/>
      <name val="Roboto Condensed"/>
      <family val="2"/>
      <scheme val="minor"/>
    </font>
    <font>
      <sz val="18"/>
      <color theme="1"/>
      <name val="Roboto Condensed"/>
      <family val="2"/>
      <scheme val="minor"/>
    </font>
    <font>
      <b/>
      <sz val="16"/>
      <color theme="0"/>
      <name val="Bahnschrift"/>
      <family val="2"/>
    </font>
    <font>
      <b/>
      <sz val="24"/>
      <color theme="1"/>
      <name val="Roboto Condensed"/>
      <family val="2"/>
      <scheme val="minor"/>
    </font>
    <font>
      <b/>
      <sz val="26"/>
      <color theme="0"/>
      <name val="Roboto Condensed"/>
      <family val="2"/>
      <scheme val="minor"/>
    </font>
    <font>
      <b/>
      <sz val="28"/>
      <color theme="0"/>
      <name val="Roboto Condensed"/>
      <family val="2"/>
      <scheme val="minor"/>
    </font>
    <font>
      <b/>
      <sz val="22"/>
      <color theme="1"/>
      <name val="Roboto Condensed"/>
      <family val="2"/>
      <scheme val="minor"/>
    </font>
    <font>
      <b/>
      <sz val="22"/>
      <color rgb="FFFF0000"/>
      <name val="Roboto Condensed"/>
      <scheme val="minor"/>
    </font>
    <font>
      <b/>
      <sz val="22"/>
      <color rgb="FF00B050"/>
      <name val="Roboto Condensed"/>
      <scheme val="minor"/>
    </font>
    <font>
      <b/>
      <sz val="22"/>
      <color rgb="FF00B0F0"/>
      <name val="Roboto Condensed"/>
      <scheme val="minor"/>
    </font>
    <font>
      <b/>
      <sz val="22"/>
      <color rgb="FF002060"/>
      <name val="Roboto Condensed"/>
      <scheme val="minor"/>
    </font>
    <font>
      <b/>
      <sz val="22"/>
      <color theme="1"/>
      <name val="Roboto Condensed"/>
      <scheme val="minor"/>
    </font>
    <font>
      <b/>
      <sz val="22"/>
      <color theme="0"/>
      <name val="Roboto Condensed"/>
      <scheme val="minor"/>
    </font>
    <font>
      <b/>
      <sz val="22"/>
      <color theme="5" tint="-0.249977111117893"/>
      <name val="Roboto Condensed"/>
      <scheme val="minor"/>
    </font>
    <font>
      <b/>
      <sz val="16"/>
      <color theme="1"/>
      <name val="Roboto Condensed"/>
      <scheme val="minor"/>
    </font>
    <font>
      <i/>
      <sz val="16"/>
      <color theme="1"/>
      <name val="Roboto Condensed"/>
      <family val="2"/>
      <scheme val="minor"/>
    </font>
    <font>
      <sz val="16"/>
      <color theme="1" tint="4.9989318521683403E-2"/>
      <name val="Roboto Condensed"/>
      <family val="2"/>
      <scheme val="minor"/>
    </font>
    <font>
      <b/>
      <sz val="30"/>
      <color theme="1"/>
      <name val="Roboto Condensed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7" fillId="9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0" fillId="9" borderId="0" xfId="0" applyFill="1"/>
    <xf numFmtId="0" fontId="9" fillId="10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0" fillId="10" borderId="0" xfId="0" applyFill="1"/>
    <xf numFmtId="0" fontId="0" fillId="0" borderId="0" xfId="0" applyAlignment="1">
      <alignment horizontal="center"/>
    </xf>
    <xf numFmtId="0" fontId="14" fillId="11" borderId="0" xfId="0" quotePrefix="1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3" fillId="0" borderId="0" xfId="0" applyFont="1"/>
    <xf numFmtId="165" fontId="3" fillId="0" borderId="1" xfId="0" applyNumberFormat="1" applyFont="1" applyBorder="1"/>
    <xf numFmtId="0" fontId="17" fillId="4" borderId="1" xfId="0" applyFont="1" applyFill="1" applyBorder="1"/>
    <xf numFmtId="0" fontId="17" fillId="3" borderId="1" xfId="0" applyFont="1" applyFill="1" applyBorder="1"/>
    <xf numFmtId="0" fontId="3" fillId="0" borderId="9" xfId="0" applyFont="1" applyBorder="1"/>
    <xf numFmtId="166" fontId="3" fillId="0" borderId="1" xfId="0" applyNumberFormat="1" applyFont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0" fontId="17" fillId="2" borderId="2" xfId="0" applyFont="1" applyFill="1" applyBorder="1"/>
    <xf numFmtId="0" fontId="5" fillId="9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3" fillId="8" borderId="2" xfId="0" applyFont="1" applyFill="1" applyBorder="1" applyAlignment="1">
      <alignment vertical="center"/>
    </xf>
    <xf numFmtId="165" fontId="19" fillId="7" borderId="2" xfId="0" applyNumberFormat="1" applyFont="1" applyFill="1" applyBorder="1" applyAlignment="1">
      <alignment horizontal="left" vertical="top"/>
    </xf>
    <xf numFmtId="0" fontId="17" fillId="2" borderId="6" xfId="0" applyFont="1" applyFill="1" applyBorder="1" applyAlignment="1">
      <alignment horizontal="left"/>
    </xf>
    <xf numFmtId="0" fontId="17" fillId="2" borderId="7" xfId="0" applyFont="1" applyFill="1" applyBorder="1" applyAlignment="1">
      <alignment horizontal="left"/>
    </xf>
    <xf numFmtId="0" fontId="17" fillId="2" borderId="8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40822</xdr:rowOff>
    </xdr:from>
    <xdr:ext cx="392140" cy="367392"/>
    <xdr:pic>
      <xdr:nvPicPr>
        <xdr:cNvPr id="2" name="Imagen 1">
          <a:extLst>
            <a:ext uri="{FF2B5EF4-FFF2-40B4-BE49-F238E27FC236}">
              <a16:creationId xmlns:a16="http://schemas.microsoft.com/office/drawing/2014/main" id="{E2D90DAD-8A1D-4C9D-B8EA-D598687B1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40822"/>
          <a:ext cx="392140" cy="36739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40822</xdr:rowOff>
    </xdr:from>
    <xdr:ext cx="392140" cy="367392"/>
    <xdr:pic>
      <xdr:nvPicPr>
        <xdr:cNvPr id="2" name="Imagen 1">
          <a:extLst>
            <a:ext uri="{FF2B5EF4-FFF2-40B4-BE49-F238E27FC236}">
              <a16:creationId xmlns:a16="http://schemas.microsoft.com/office/drawing/2014/main" id="{0603F4AA-436E-4364-8BFE-DCF114B26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40822"/>
          <a:ext cx="392140" cy="36739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40822</xdr:rowOff>
    </xdr:from>
    <xdr:ext cx="392140" cy="367392"/>
    <xdr:pic>
      <xdr:nvPicPr>
        <xdr:cNvPr id="2" name="Imagen 1">
          <a:extLst>
            <a:ext uri="{FF2B5EF4-FFF2-40B4-BE49-F238E27FC236}">
              <a16:creationId xmlns:a16="http://schemas.microsoft.com/office/drawing/2014/main" id="{CF46E061-C468-42C6-B0A4-A43D2E1E2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40822"/>
          <a:ext cx="392140" cy="36739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40822</xdr:rowOff>
    </xdr:from>
    <xdr:ext cx="392140" cy="367392"/>
    <xdr:pic>
      <xdr:nvPicPr>
        <xdr:cNvPr id="2" name="Imagen 1">
          <a:extLst>
            <a:ext uri="{FF2B5EF4-FFF2-40B4-BE49-F238E27FC236}">
              <a16:creationId xmlns:a16="http://schemas.microsoft.com/office/drawing/2014/main" id="{6BD2EABF-536B-47D9-B93F-F85CD54A7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40822"/>
          <a:ext cx="392140" cy="36739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40822</xdr:rowOff>
    </xdr:from>
    <xdr:ext cx="392140" cy="367392"/>
    <xdr:pic>
      <xdr:nvPicPr>
        <xdr:cNvPr id="2" name="Imagen 1">
          <a:extLst>
            <a:ext uri="{FF2B5EF4-FFF2-40B4-BE49-F238E27FC236}">
              <a16:creationId xmlns:a16="http://schemas.microsoft.com/office/drawing/2014/main" id="{480B36FA-D45F-4128-B4D9-04520E04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40822"/>
          <a:ext cx="392140" cy="36739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95251</xdr:colOff>
      <xdr:row>0</xdr:row>
      <xdr:rowOff>40822</xdr:rowOff>
    </xdr:from>
    <xdr:ext cx="392140" cy="367392"/>
    <xdr:pic>
      <xdr:nvPicPr>
        <xdr:cNvPr id="2" name="Imagen 1">
          <a:extLst>
            <a:ext uri="{FF2B5EF4-FFF2-40B4-BE49-F238E27FC236}">
              <a16:creationId xmlns:a16="http://schemas.microsoft.com/office/drawing/2014/main" id="{EC75044A-4719-48B6-8407-2C371B616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40822"/>
          <a:ext cx="392140" cy="3673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Lucho en la Oficina">
      <a:dk1>
        <a:sysClr val="windowText" lastClr="000000"/>
      </a:dk1>
      <a:lt1>
        <a:sysClr val="window" lastClr="FFFFFF"/>
      </a:lt1>
      <a:dk2>
        <a:srgbClr val="5C25E5"/>
      </a:dk2>
      <a:lt2>
        <a:srgbClr val="C7C8C8"/>
      </a:lt2>
      <a:accent1>
        <a:srgbClr val="2B5799"/>
      </a:accent1>
      <a:accent2>
        <a:srgbClr val="FFC000"/>
      </a:accent2>
      <a:accent3>
        <a:srgbClr val="49DF8E"/>
      </a:accent3>
      <a:accent4>
        <a:srgbClr val="FF3300"/>
      </a:accent4>
      <a:accent5>
        <a:srgbClr val="5B9BD5"/>
      </a:accent5>
      <a:accent6>
        <a:srgbClr val="70AD47"/>
      </a:accent6>
      <a:hlink>
        <a:srgbClr val="0563C1"/>
      </a:hlink>
      <a:folHlink>
        <a:srgbClr val="FF0000"/>
      </a:folHlink>
    </a:clrScheme>
    <a:fontScheme name="Personalizado 3">
      <a:majorFont>
        <a:latin typeface="Roboto Condensed"/>
        <a:ea typeface=""/>
        <a:cs typeface=""/>
      </a:majorFont>
      <a:minorFont>
        <a:latin typeface="Roboto Condense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7BC5-06B4-42E3-91BE-D7B96C08000F}">
  <dimension ref="A1:J29"/>
  <sheetViews>
    <sheetView zoomScaleNormal="100" workbookViewId="0">
      <selection activeCell="C10" sqref="C10"/>
    </sheetView>
  </sheetViews>
  <sheetFormatPr baseColWidth="10" defaultRowHeight="15" x14ac:dyDescent="0.25"/>
  <cols>
    <col min="1" max="1" width="7.85546875" customWidth="1"/>
    <col min="2" max="2" width="9.42578125" customWidth="1"/>
    <col min="3" max="3" width="124.28515625" bestFit="1" customWidth="1"/>
  </cols>
  <sheetData>
    <row r="1" spans="1:10" s="11" customFormat="1" ht="36" x14ac:dyDescent="0.25">
      <c r="A1" s="9"/>
      <c r="B1" s="10" t="s">
        <v>94</v>
      </c>
      <c r="C1" s="9"/>
      <c r="D1" s="9"/>
      <c r="E1" s="9"/>
      <c r="F1" s="9"/>
      <c r="G1" s="9"/>
    </row>
    <row r="2" spans="1:10" s="14" customFormat="1" ht="27.75" x14ac:dyDescent="0.25">
      <c r="A2" s="12" t="s">
        <v>93</v>
      </c>
      <c r="B2" s="13"/>
      <c r="C2" s="13"/>
      <c r="D2" s="13"/>
      <c r="E2" s="13"/>
      <c r="F2" s="13"/>
      <c r="G2" s="13"/>
    </row>
    <row r="4" spans="1:10" x14ac:dyDescent="0.25">
      <c r="C4" t="s">
        <v>97</v>
      </c>
    </row>
    <row r="5" spans="1:10" x14ac:dyDescent="0.25">
      <c r="C5" t="s">
        <v>96</v>
      </c>
      <c r="D5" s="15"/>
      <c r="E5" s="15"/>
      <c r="F5" s="15"/>
      <c r="G5" s="15"/>
      <c r="H5" s="15"/>
      <c r="I5" s="15"/>
      <c r="J5" s="15"/>
    </row>
    <row r="6" spans="1:10" x14ac:dyDescent="0.25">
      <c r="C6" s="15"/>
      <c r="D6" s="15"/>
      <c r="E6" s="15"/>
      <c r="F6" s="15"/>
      <c r="G6" s="15"/>
      <c r="H6" s="15"/>
      <c r="I6" s="15"/>
      <c r="J6" s="15"/>
    </row>
    <row r="7" spans="1:10" ht="27.75" x14ac:dyDescent="0.25">
      <c r="C7" s="16" t="s">
        <v>95</v>
      </c>
    </row>
    <row r="10" spans="1:10" ht="15" customHeight="1" x14ac:dyDescent="0.25"/>
    <row r="11" spans="1:10" ht="15" customHeight="1" x14ac:dyDescent="0.25"/>
    <row r="12" spans="1:10" ht="15" customHeight="1" x14ac:dyDescent="0.25"/>
    <row r="13" spans="1:10" ht="15" customHeight="1" x14ac:dyDescent="0.25"/>
    <row r="14" spans="1:10" ht="15" customHeight="1" x14ac:dyDescent="0.25"/>
    <row r="15" spans="1:10" ht="15" customHeight="1" x14ac:dyDescent="0.25"/>
    <row r="16" spans="1:10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zoomScaleNormal="100" workbookViewId="0">
      <selection activeCell="G6" sqref="G6"/>
    </sheetView>
  </sheetViews>
  <sheetFormatPr baseColWidth="10" defaultRowHeight="15" x14ac:dyDescent="0.25"/>
  <cols>
    <col min="1" max="1" width="8" customWidth="1"/>
    <col min="2" max="2" width="5.7109375" customWidth="1"/>
    <col min="3" max="3" width="18.7109375" customWidth="1"/>
    <col min="4" max="4" width="30" customWidth="1"/>
    <col min="5" max="5" width="26.28515625" customWidth="1"/>
    <col min="8" max="8" width="23.140625" bestFit="1" customWidth="1"/>
    <col min="9" max="9" width="19.140625" customWidth="1"/>
    <col min="10" max="10" width="15.140625" customWidth="1"/>
  </cols>
  <sheetData>
    <row r="1" spans="1:10" s="11" customFormat="1" ht="36" x14ac:dyDescent="0.25">
      <c r="A1" s="9"/>
      <c r="B1" s="10" t="s">
        <v>94</v>
      </c>
      <c r="C1" s="9"/>
      <c r="D1" s="9"/>
      <c r="E1" s="9"/>
      <c r="F1" s="9"/>
      <c r="G1" s="9"/>
    </row>
    <row r="2" spans="1:10" s="14" customFormat="1" ht="27.75" x14ac:dyDescent="0.25">
      <c r="A2" s="12" t="s">
        <v>93</v>
      </c>
      <c r="B2" s="13"/>
      <c r="C2" s="13"/>
      <c r="D2" s="13"/>
      <c r="E2" s="13"/>
      <c r="F2" s="13"/>
      <c r="G2" s="13"/>
    </row>
    <row r="4" spans="1:10" ht="15.75" thickBot="1" x14ac:dyDescent="0.3"/>
    <row r="5" spans="1:10" ht="33.75" customHeight="1" thickBot="1" x14ac:dyDescent="0.3">
      <c r="C5" s="1" t="s">
        <v>0</v>
      </c>
      <c r="D5" s="1" t="s">
        <v>16</v>
      </c>
      <c r="E5" s="1" t="s">
        <v>21</v>
      </c>
      <c r="F5" s="1" t="s">
        <v>22</v>
      </c>
      <c r="H5" s="2"/>
    </row>
    <row r="6" spans="1:10" ht="31.5" customHeight="1" thickBot="1" x14ac:dyDescent="0.4">
      <c r="C6" s="17" t="s">
        <v>1</v>
      </c>
      <c r="D6" s="17" t="s">
        <v>17</v>
      </c>
      <c r="E6" s="18">
        <v>13000</v>
      </c>
      <c r="F6" s="19" t="s">
        <v>23</v>
      </c>
      <c r="H6" s="4"/>
      <c r="I6" s="3"/>
      <c r="J6" s="3"/>
    </row>
    <row r="7" spans="1:10" ht="20.100000000000001" customHeight="1" x14ac:dyDescent="0.3">
      <c r="C7" s="17" t="s">
        <v>1</v>
      </c>
      <c r="D7" s="17" t="s">
        <v>13</v>
      </c>
      <c r="E7" s="18">
        <v>12000</v>
      </c>
      <c r="F7" s="19" t="s">
        <v>35</v>
      </c>
    </row>
    <row r="8" spans="1:10" ht="20.100000000000001" customHeight="1" x14ac:dyDescent="0.3">
      <c r="C8" s="17" t="s">
        <v>1</v>
      </c>
      <c r="D8" s="17" t="s">
        <v>14</v>
      </c>
      <c r="E8" s="18">
        <v>11500</v>
      </c>
      <c r="F8" s="19" t="s">
        <v>36</v>
      </c>
    </row>
    <row r="9" spans="1:10" ht="20.100000000000001" customHeight="1" x14ac:dyDescent="0.3">
      <c r="C9" s="17" t="s">
        <v>1</v>
      </c>
      <c r="D9" s="17" t="s">
        <v>12</v>
      </c>
      <c r="E9" s="18">
        <v>10600</v>
      </c>
      <c r="F9" s="19" t="s">
        <v>37</v>
      </c>
    </row>
    <row r="10" spans="1:10" ht="20.100000000000001" customHeight="1" x14ac:dyDescent="0.3">
      <c r="C10" s="17" t="s">
        <v>2</v>
      </c>
      <c r="D10" s="17" t="s">
        <v>18</v>
      </c>
      <c r="E10" s="18">
        <v>14000</v>
      </c>
      <c r="F10" s="19" t="s">
        <v>38</v>
      </c>
    </row>
    <row r="11" spans="1:10" ht="20.100000000000001" customHeight="1" x14ac:dyDescent="0.3">
      <c r="C11" s="17" t="s">
        <v>3</v>
      </c>
      <c r="D11" s="17" t="s">
        <v>19</v>
      </c>
      <c r="E11" s="18">
        <v>14000</v>
      </c>
      <c r="F11" s="19" t="s">
        <v>39</v>
      </c>
    </row>
    <row r="12" spans="1:10" ht="20.100000000000001" customHeight="1" x14ac:dyDescent="0.3">
      <c r="C12" s="17" t="s">
        <v>3</v>
      </c>
      <c r="D12" s="17" t="s">
        <v>20</v>
      </c>
      <c r="E12" s="18">
        <v>12500</v>
      </c>
      <c r="F12" s="19" t="s">
        <v>40</v>
      </c>
    </row>
    <row r="13" spans="1:10" ht="20.100000000000001" customHeight="1" x14ac:dyDescent="0.3">
      <c r="C13" s="17" t="s">
        <v>3</v>
      </c>
      <c r="D13" s="17" t="s">
        <v>24</v>
      </c>
      <c r="E13" s="18">
        <v>11000</v>
      </c>
      <c r="F13" s="19" t="s">
        <v>41</v>
      </c>
    </row>
    <row r="14" spans="1:10" ht="20.100000000000001" customHeight="1" x14ac:dyDescent="0.3">
      <c r="C14" s="17" t="s">
        <v>15</v>
      </c>
      <c r="D14" s="17" t="s">
        <v>25</v>
      </c>
      <c r="E14" s="18">
        <v>13200</v>
      </c>
      <c r="F14" s="19" t="s">
        <v>42</v>
      </c>
    </row>
    <row r="15" spans="1:10" ht="20.100000000000001" customHeight="1" x14ac:dyDescent="0.3">
      <c r="C15" s="17" t="s">
        <v>15</v>
      </c>
      <c r="D15" s="17" t="s">
        <v>26</v>
      </c>
      <c r="E15" s="18">
        <v>14150</v>
      </c>
      <c r="F15" s="19" t="s">
        <v>43</v>
      </c>
    </row>
    <row r="16" spans="1:10" ht="20.100000000000001" customHeight="1" x14ac:dyDescent="0.35">
      <c r="C16" s="17" t="s">
        <v>4</v>
      </c>
      <c r="D16" s="17" t="s">
        <v>27</v>
      </c>
      <c r="E16" s="18">
        <v>15200</v>
      </c>
      <c r="F16" s="19" t="s">
        <v>44</v>
      </c>
    </row>
    <row r="17" spans="3:6" ht="20.100000000000001" customHeight="1" x14ac:dyDescent="0.35">
      <c r="C17" s="17" t="s">
        <v>5</v>
      </c>
      <c r="D17" s="17" t="s">
        <v>28</v>
      </c>
      <c r="E17" s="18">
        <v>13150</v>
      </c>
      <c r="F17" s="19" t="s">
        <v>45</v>
      </c>
    </row>
    <row r="18" spans="3:6" ht="20.100000000000001" customHeight="1" x14ac:dyDescent="0.35">
      <c r="C18" s="17" t="s">
        <v>6</v>
      </c>
      <c r="D18" s="17" t="s">
        <v>29</v>
      </c>
      <c r="E18" s="18">
        <v>20000</v>
      </c>
      <c r="F18" s="19" t="s">
        <v>46</v>
      </c>
    </row>
    <row r="19" spans="3:6" ht="20.100000000000001" customHeight="1" x14ac:dyDescent="0.35">
      <c r="C19" s="17" t="s">
        <v>7</v>
      </c>
      <c r="D19" s="17" t="s">
        <v>30</v>
      </c>
      <c r="E19" s="18">
        <v>18000</v>
      </c>
      <c r="F19" s="19" t="s">
        <v>47</v>
      </c>
    </row>
    <row r="20" spans="3:6" ht="20.100000000000001" customHeight="1" x14ac:dyDescent="0.35">
      <c r="C20" s="17" t="s">
        <v>8</v>
      </c>
      <c r="D20" s="17" t="s">
        <v>31</v>
      </c>
      <c r="E20" s="18">
        <v>25000</v>
      </c>
      <c r="F20" s="19" t="s">
        <v>48</v>
      </c>
    </row>
    <row r="21" spans="3:6" ht="20.100000000000001" customHeight="1" x14ac:dyDescent="0.35">
      <c r="C21" s="17" t="s">
        <v>9</v>
      </c>
      <c r="D21" s="17" t="s">
        <v>32</v>
      </c>
      <c r="E21" s="18">
        <v>17000</v>
      </c>
      <c r="F21" s="19" t="s">
        <v>49</v>
      </c>
    </row>
    <row r="22" spans="3:6" ht="20.100000000000001" customHeight="1" x14ac:dyDescent="0.35">
      <c r="C22" s="17" t="s">
        <v>10</v>
      </c>
      <c r="D22" s="17" t="s">
        <v>33</v>
      </c>
      <c r="E22" s="18">
        <v>16500</v>
      </c>
      <c r="F22" s="19" t="s">
        <v>50</v>
      </c>
    </row>
    <row r="23" spans="3:6" ht="20.100000000000001" customHeight="1" x14ac:dyDescent="0.35">
      <c r="C23" s="17" t="s">
        <v>11</v>
      </c>
      <c r="D23" s="17" t="s">
        <v>34</v>
      </c>
      <c r="E23" s="18">
        <v>15800</v>
      </c>
      <c r="F23" s="19" t="s">
        <v>51</v>
      </c>
    </row>
  </sheetData>
  <phoneticPr fontId="2" type="noConversion"/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A494-2C3F-434E-8CD1-1F467173DBD9}">
  <dimension ref="A1:H16"/>
  <sheetViews>
    <sheetView topLeftCell="A3" zoomScaleNormal="100" workbookViewId="0">
      <selection activeCell="G6" sqref="G6"/>
    </sheetView>
  </sheetViews>
  <sheetFormatPr baseColWidth="10" defaultRowHeight="15" x14ac:dyDescent="0.25"/>
  <cols>
    <col min="1" max="1" width="7.140625" customWidth="1"/>
    <col min="2" max="2" width="27.7109375" customWidth="1"/>
    <col min="3" max="3" width="27" customWidth="1"/>
    <col min="4" max="4" width="18.7109375" customWidth="1"/>
    <col min="5" max="5" width="8.5703125" customWidth="1"/>
    <col min="6" max="6" width="24.42578125" customWidth="1"/>
    <col min="7" max="7" width="24.140625" customWidth="1"/>
    <col min="8" max="8" width="38.5703125" customWidth="1"/>
  </cols>
  <sheetData>
    <row r="1" spans="1:8" s="11" customFormat="1" ht="36" x14ac:dyDescent="0.25">
      <c r="A1" s="9"/>
      <c r="B1" s="10" t="s">
        <v>94</v>
      </c>
      <c r="C1" s="9"/>
      <c r="D1" s="9"/>
      <c r="E1" s="9"/>
      <c r="F1" s="9"/>
      <c r="G1" s="9"/>
    </row>
    <row r="2" spans="1:8" s="14" customFormat="1" ht="27.75" x14ac:dyDescent="0.25">
      <c r="A2" s="12" t="s">
        <v>93</v>
      </c>
      <c r="B2" s="13"/>
      <c r="C2" s="13"/>
      <c r="D2" s="13"/>
      <c r="E2" s="13"/>
      <c r="F2" s="13"/>
      <c r="G2" s="13"/>
    </row>
    <row r="5" spans="1:8" ht="27" customHeight="1" x14ac:dyDescent="0.35">
      <c r="B5" s="20" t="s">
        <v>53</v>
      </c>
      <c r="C5" s="20" t="s">
        <v>52</v>
      </c>
      <c r="D5" s="20" t="s">
        <v>61</v>
      </c>
      <c r="E5" s="21"/>
      <c r="F5" s="1" t="s">
        <v>54</v>
      </c>
      <c r="G5" s="1" t="s">
        <v>55</v>
      </c>
      <c r="H5" s="1" t="s">
        <v>61</v>
      </c>
    </row>
    <row r="6" spans="1:8" ht="20.25" x14ac:dyDescent="0.3">
      <c r="B6" s="22">
        <v>10000</v>
      </c>
      <c r="C6" s="22">
        <v>20000</v>
      </c>
      <c r="D6" s="22">
        <v>300</v>
      </c>
      <c r="E6" s="21"/>
      <c r="F6" s="19" t="s">
        <v>56</v>
      </c>
      <c r="G6" s="22">
        <v>149000</v>
      </c>
      <c r="H6" s="22"/>
    </row>
    <row r="7" spans="1:8" ht="20.25" x14ac:dyDescent="0.3">
      <c r="B7" s="22">
        <v>20000</v>
      </c>
      <c r="C7" s="22">
        <v>30000</v>
      </c>
      <c r="D7" s="22">
        <v>400</v>
      </c>
      <c r="E7" s="21"/>
      <c r="F7" s="19" t="s">
        <v>98</v>
      </c>
      <c r="G7" s="22">
        <v>220000</v>
      </c>
      <c r="H7" s="22"/>
    </row>
    <row r="8" spans="1:8" ht="20.25" x14ac:dyDescent="0.3">
      <c r="B8" s="22">
        <v>30000</v>
      </c>
      <c r="C8" s="22">
        <v>40000</v>
      </c>
      <c r="D8" s="22">
        <v>500</v>
      </c>
      <c r="E8" s="21"/>
      <c r="F8" s="19" t="s">
        <v>57</v>
      </c>
      <c r="G8" s="22">
        <v>180000</v>
      </c>
      <c r="H8" s="22"/>
    </row>
    <row r="9" spans="1:8" ht="20.25" x14ac:dyDescent="0.3">
      <c r="B9" s="22">
        <v>41000</v>
      </c>
      <c r="C9" s="22">
        <v>50000</v>
      </c>
      <c r="D9" s="22">
        <v>600</v>
      </c>
      <c r="E9" s="21"/>
      <c r="F9" s="19" t="s">
        <v>58</v>
      </c>
      <c r="G9" s="22">
        <v>21000</v>
      </c>
      <c r="H9" s="22"/>
    </row>
    <row r="10" spans="1:8" ht="21" x14ac:dyDescent="0.35">
      <c r="B10" s="22">
        <v>60000</v>
      </c>
      <c r="C10" s="22">
        <v>70000</v>
      </c>
      <c r="D10" s="22">
        <v>700</v>
      </c>
      <c r="E10" s="21"/>
      <c r="F10" s="19" t="s">
        <v>99</v>
      </c>
      <c r="G10" s="22">
        <v>130000</v>
      </c>
      <c r="H10" s="22"/>
    </row>
    <row r="11" spans="1:8" ht="21" x14ac:dyDescent="0.35">
      <c r="B11" s="22">
        <v>80000</v>
      </c>
      <c r="C11" s="22">
        <v>90000</v>
      </c>
      <c r="D11" s="22">
        <v>800</v>
      </c>
      <c r="E11" s="21"/>
      <c r="F11" s="19" t="s">
        <v>59</v>
      </c>
      <c r="G11" s="22">
        <v>180000</v>
      </c>
      <c r="H11" s="22"/>
    </row>
    <row r="12" spans="1:8" ht="21" x14ac:dyDescent="0.35">
      <c r="B12" s="22">
        <v>100000</v>
      </c>
      <c r="C12" s="22">
        <v>110000</v>
      </c>
      <c r="D12" s="22">
        <v>900</v>
      </c>
      <c r="E12" s="21"/>
      <c r="F12" s="19" t="s">
        <v>60</v>
      </c>
      <c r="G12" s="22">
        <v>124000</v>
      </c>
      <c r="H12" s="22"/>
    </row>
    <row r="13" spans="1:8" ht="20.25" x14ac:dyDescent="0.3">
      <c r="B13" s="22">
        <v>110000</v>
      </c>
      <c r="C13" s="22">
        <v>130000</v>
      </c>
      <c r="D13" s="22">
        <v>1000</v>
      </c>
      <c r="E13" s="21"/>
      <c r="F13" s="19" t="s">
        <v>100</v>
      </c>
      <c r="G13" s="22">
        <v>95000</v>
      </c>
      <c r="H13" s="22"/>
    </row>
    <row r="14" spans="1:8" ht="21.75" customHeight="1" x14ac:dyDescent="0.3">
      <c r="B14" s="22">
        <v>130000</v>
      </c>
      <c r="C14" s="22">
        <v>150000</v>
      </c>
      <c r="D14" s="22">
        <v>1100</v>
      </c>
      <c r="E14" s="21"/>
      <c r="F14" s="21"/>
      <c r="G14" s="21"/>
      <c r="H14" s="21"/>
    </row>
    <row r="15" spans="1:8" ht="20.25" x14ac:dyDescent="0.3">
      <c r="B15" s="22">
        <v>150000</v>
      </c>
      <c r="C15" s="22">
        <v>160000</v>
      </c>
      <c r="D15" s="22">
        <v>1200</v>
      </c>
      <c r="E15" s="21"/>
      <c r="F15" s="21"/>
      <c r="G15" s="21"/>
      <c r="H15" s="21"/>
    </row>
    <row r="16" spans="1:8" ht="21" x14ac:dyDescent="0.35">
      <c r="B16" s="22">
        <v>180000</v>
      </c>
      <c r="C16" s="22">
        <v>200000</v>
      </c>
      <c r="D16" s="22">
        <v>1300</v>
      </c>
      <c r="E16" s="21"/>
      <c r="F16" s="21"/>
      <c r="G16" s="21"/>
      <c r="H16" s="2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01EA-FFCA-4371-B7F1-BB805BEB6C69}">
  <dimension ref="A1:G13"/>
  <sheetViews>
    <sheetView zoomScaleNormal="100" workbookViewId="0">
      <selection activeCell="B7" sqref="B7"/>
    </sheetView>
  </sheetViews>
  <sheetFormatPr baseColWidth="10" defaultRowHeight="15" x14ac:dyDescent="0.25"/>
  <cols>
    <col min="1" max="1" width="8.28515625" customWidth="1"/>
    <col min="2" max="2" width="17.42578125" customWidth="1"/>
    <col min="3" max="3" width="20.140625" customWidth="1"/>
  </cols>
  <sheetData>
    <row r="1" spans="1:7" s="11" customFormat="1" ht="36" x14ac:dyDescent="0.25">
      <c r="A1" s="9"/>
      <c r="B1" s="10" t="s">
        <v>94</v>
      </c>
      <c r="C1" s="9"/>
      <c r="D1" s="9"/>
      <c r="E1" s="9"/>
      <c r="F1" s="9"/>
      <c r="G1" s="9"/>
    </row>
    <row r="2" spans="1:7" s="14" customFormat="1" ht="27.75" x14ac:dyDescent="0.25">
      <c r="A2" s="12" t="s">
        <v>93</v>
      </c>
      <c r="B2" s="13"/>
      <c r="C2" s="13"/>
      <c r="D2" s="13"/>
      <c r="E2" s="13"/>
      <c r="F2" s="13"/>
      <c r="G2" s="13"/>
    </row>
    <row r="5" spans="1:7" ht="21" x14ac:dyDescent="0.35">
      <c r="B5" s="23" t="s">
        <v>68</v>
      </c>
      <c r="C5" s="23" t="s">
        <v>69</v>
      </c>
      <c r="D5" s="23" t="s">
        <v>70</v>
      </c>
    </row>
    <row r="6" spans="1:7" ht="20.25" x14ac:dyDescent="0.3">
      <c r="B6" s="19"/>
      <c r="C6" s="19"/>
      <c r="D6" s="51"/>
    </row>
    <row r="7" spans="1:7" ht="20.25" x14ac:dyDescent="0.3">
      <c r="B7" s="21"/>
      <c r="C7" s="21"/>
      <c r="D7" s="21"/>
    </row>
    <row r="8" spans="1:7" ht="20.25" x14ac:dyDescent="0.3">
      <c r="B8" s="24" t="s">
        <v>62</v>
      </c>
      <c r="C8" s="24" t="s">
        <v>71</v>
      </c>
      <c r="D8" s="21"/>
    </row>
    <row r="9" spans="1:7" ht="20.25" x14ac:dyDescent="0.3">
      <c r="B9" s="19" t="s">
        <v>63</v>
      </c>
      <c r="C9" s="51">
        <v>10</v>
      </c>
      <c r="D9" s="21"/>
    </row>
    <row r="10" spans="1:7" ht="20.25" x14ac:dyDescent="0.3">
      <c r="B10" s="19" t="s">
        <v>64</v>
      </c>
      <c r="C10" s="51">
        <v>20</v>
      </c>
      <c r="D10" s="21"/>
    </row>
    <row r="11" spans="1:7" ht="20.25" x14ac:dyDescent="0.3">
      <c r="B11" s="19" t="s">
        <v>65</v>
      </c>
      <c r="C11" s="51">
        <v>15</v>
      </c>
      <c r="D11" s="21"/>
    </row>
    <row r="12" spans="1:7" ht="20.25" x14ac:dyDescent="0.3">
      <c r="B12" s="19" t="s">
        <v>66</v>
      </c>
      <c r="C12" s="51">
        <v>10</v>
      </c>
      <c r="D12" s="21"/>
    </row>
    <row r="13" spans="1:7" ht="20.25" x14ac:dyDescent="0.3">
      <c r="B13" s="19" t="s">
        <v>67</v>
      </c>
      <c r="C13" s="51">
        <v>2</v>
      </c>
      <c r="D13" s="2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5F69-50A9-47A9-B006-45E27C6EFD1A}">
  <dimension ref="A1:I15"/>
  <sheetViews>
    <sheetView topLeftCell="A2" zoomScaleNormal="100" workbookViewId="0">
      <selection activeCell="H5" sqref="H5:I7"/>
    </sheetView>
  </sheetViews>
  <sheetFormatPr baseColWidth="10" defaultRowHeight="15" x14ac:dyDescent="0.25"/>
  <cols>
    <col min="1" max="1" width="6.5703125" customWidth="1"/>
    <col min="2" max="2" width="26.140625" customWidth="1"/>
    <col min="3" max="3" width="17.85546875" customWidth="1"/>
    <col min="4" max="4" width="18.140625" customWidth="1"/>
    <col min="5" max="5" width="15.85546875" customWidth="1"/>
    <col min="6" max="6" width="23.5703125" customWidth="1"/>
    <col min="7" max="7" width="3.7109375" customWidth="1"/>
    <col min="9" max="9" width="36.42578125" customWidth="1"/>
  </cols>
  <sheetData>
    <row r="1" spans="1:9" s="11" customFormat="1" ht="36" x14ac:dyDescent="0.25">
      <c r="A1" s="9"/>
      <c r="B1" s="10" t="s">
        <v>94</v>
      </c>
      <c r="C1" s="9"/>
      <c r="D1" s="9"/>
      <c r="E1" s="9"/>
      <c r="F1" s="9"/>
      <c r="G1" s="9"/>
    </row>
    <row r="2" spans="1:9" s="14" customFormat="1" ht="27.75" x14ac:dyDescent="0.25">
      <c r="A2" s="12" t="s">
        <v>93</v>
      </c>
      <c r="B2" s="13"/>
      <c r="C2" s="13"/>
      <c r="D2" s="13"/>
      <c r="E2" s="13"/>
      <c r="F2" s="13"/>
      <c r="G2" s="13"/>
    </row>
    <row r="4" spans="1:9" ht="15.75" thickBot="1" x14ac:dyDescent="0.3"/>
    <row r="5" spans="1:9" ht="21.75" thickBot="1" x14ac:dyDescent="0.4">
      <c r="B5" s="28" t="s">
        <v>80</v>
      </c>
      <c r="C5" s="33" t="s">
        <v>81</v>
      </c>
      <c r="D5" s="34"/>
      <c r="E5" s="34"/>
      <c r="F5" s="35"/>
      <c r="H5" s="39" cm="1">
        <f t="array" ref="H5">_xlfn.XLOOKUP(B6,B9:B15,_xlfn.XLOOKUP(C6,C8:F8,C9:F15))</f>
        <v>11</v>
      </c>
      <c r="I5" s="40"/>
    </row>
    <row r="6" spans="1:9" ht="21.75" thickBot="1" x14ac:dyDescent="0.4">
      <c r="B6" s="25" t="s">
        <v>77</v>
      </c>
      <c r="C6" s="36" t="s">
        <v>76</v>
      </c>
      <c r="D6" s="37"/>
      <c r="E6" s="37"/>
      <c r="F6" s="38"/>
      <c r="H6" s="41"/>
      <c r="I6" s="42"/>
    </row>
    <row r="7" spans="1:9" ht="34.5" customHeight="1" thickBot="1" x14ac:dyDescent="0.4">
      <c r="B7" s="21"/>
      <c r="C7" s="21"/>
      <c r="D7" s="21"/>
      <c r="E7" s="21"/>
      <c r="F7" s="21"/>
      <c r="H7" s="43"/>
      <c r="I7" s="44"/>
    </row>
    <row r="8" spans="1:9" ht="19.5" x14ac:dyDescent="0.25">
      <c r="B8" s="29" t="s">
        <v>72</v>
      </c>
      <c r="C8" s="29" t="s">
        <v>73</v>
      </c>
      <c r="D8" s="29" t="s">
        <v>74</v>
      </c>
      <c r="E8" s="29" t="s">
        <v>75</v>
      </c>
      <c r="F8" s="29" t="s">
        <v>76</v>
      </c>
    </row>
    <row r="9" spans="1:9" ht="20.25" x14ac:dyDescent="0.3">
      <c r="B9" s="5" t="s">
        <v>77</v>
      </c>
      <c r="C9" s="5">
        <v>10</v>
      </c>
      <c r="D9" s="5">
        <v>11</v>
      </c>
      <c r="E9" s="6">
        <v>12</v>
      </c>
      <c r="F9" s="26">
        <f>AVERAGE(C9:E9)</f>
        <v>11</v>
      </c>
    </row>
    <row r="10" spans="1:9" ht="20.25" x14ac:dyDescent="0.3">
      <c r="B10" s="5" t="s">
        <v>98</v>
      </c>
      <c r="C10" s="5">
        <v>11</v>
      </c>
      <c r="D10" s="5">
        <v>12</v>
      </c>
      <c r="E10" s="6">
        <v>14</v>
      </c>
      <c r="F10" s="26">
        <f t="shared" ref="F10:F15" si="0">AVERAGE(C10:E10)</f>
        <v>12.333333333333334</v>
      </c>
    </row>
    <row r="11" spans="1:9" ht="20.25" x14ac:dyDescent="0.3">
      <c r="B11" s="5" t="s">
        <v>78</v>
      </c>
      <c r="C11" s="5">
        <v>8</v>
      </c>
      <c r="D11" s="5">
        <v>13</v>
      </c>
      <c r="E11" s="6">
        <v>15</v>
      </c>
      <c r="F11" s="26">
        <f t="shared" si="0"/>
        <v>12</v>
      </c>
    </row>
    <row r="12" spans="1:9" ht="21" x14ac:dyDescent="0.35">
      <c r="B12" s="7" t="s">
        <v>101</v>
      </c>
      <c r="C12" s="7">
        <v>10</v>
      </c>
      <c r="D12" s="5">
        <v>10</v>
      </c>
      <c r="E12" s="8">
        <v>10</v>
      </c>
      <c r="F12" s="27">
        <f t="shared" si="0"/>
        <v>10</v>
      </c>
    </row>
    <row r="13" spans="1:9" ht="20.25" x14ac:dyDescent="0.3">
      <c r="B13" s="5" t="s">
        <v>79</v>
      </c>
      <c r="C13" s="5">
        <v>15</v>
      </c>
      <c r="D13" s="5">
        <v>20</v>
      </c>
      <c r="E13" s="6">
        <v>8</v>
      </c>
      <c r="F13" s="26">
        <f t="shared" si="0"/>
        <v>14.333333333333334</v>
      </c>
    </row>
    <row r="14" spans="1:9" ht="21" x14ac:dyDescent="0.35">
      <c r="B14" s="5" t="s">
        <v>102</v>
      </c>
      <c r="C14" s="5">
        <v>10</v>
      </c>
      <c r="D14" s="5">
        <v>15</v>
      </c>
      <c r="E14" s="6">
        <v>11</v>
      </c>
      <c r="F14" s="26">
        <f t="shared" si="0"/>
        <v>12</v>
      </c>
    </row>
    <row r="15" spans="1:9" ht="21" x14ac:dyDescent="0.35">
      <c r="B15" s="5" t="s">
        <v>103</v>
      </c>
      <c r="C15" s="5">
        <v>5</v>
      </c>
      <c r="D15" s="5">
        <v>16</v>
      </c>
      <c r="E15" s="6">
        <v>12</v>
      </c>
      <c r="F15" s="26">
        <f t="shared" si="0"/>
        <v>11</v>
      </c>
    </row>
  </sheetData>
  <mergeCells count="3">
    <mergeCell ref="C5:F5"/>
    <mergeCell ref="C6:F6"/>
    <mergeCell ref="H5:I7"/>
  </mergeCells>
  <dataValidations count="2">
    <dataValidation type="list" allowBlank="1" showInputMessage="1" showErrorMessage="1" sqref="B6" xr:uid="{412242C4-27C3-48E0-8116-148DE2DAC59A}">
      <formula1>$B$9:$B$15</formula1>
    </dataValidation>
    <dataValidation type="list" allowBlank="1" showInputMessage="1" showErrorMessage="1" sqref="C6:F6" xr:uid="{15F7E7C1-EAC2-46F4-BF32-AB0E5022DA77}">
      <formula1>$C$8:$F$8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BB96-5D2B-41FB-A5D5-59ED3E3FA7BD}">
  <dimension ref="A1:G15"/>
  <sheetViews>
    <sheetView showGridLines="0" tabSelected="1" zoomScaleNormal="100" workbookViewId="0">
      <selection activeCell="C6" sqref="C6"/>
    </sheetView>
  </sheetViews>
  <sheetFormatPr baseColWidth="10" defaultRowHeight="15" x14ac:dyDescent="0.25"/>
  <cols>
    <col min="1" max="1" width="8.42578125" customWidth="1"/>
    <col min="2" max="2" width="40.5703125" customWidth="1"/>
    <col min="3" max="3" width="18.5703125" customWidth="1"/>
    <col min="4" max="4" width="4.140625" customWidth="1"/>
    <col min="5" max="5" width="16.42578125" bestFit="1" customWidth="1"/>
  </cols>
  <sheetData>
    <row r="1" spans="1:7" s="11" customFormat="1" ht="36" x14ac:dyDescent="0.25">
      <c r="A1" s="9"/>
      <c r="B1" s="10" t="s">
        <v>94</v>
      </c>
      <c r="C1" s="9"/>
      <c r="D1" s="9"/>
      <c r="E1" s="9"/>
      <c r="F1" s="9"/>
      <c r="G1" s="9"/>
    </row>
    <row r="2" spans="1:7" s="14" customFormat="1" ht="27.75" x14ac:dyDescent="0.25">
      <c r="A2" s="12" t="s">
        <v>93</v>
      </c>
      <c r="B2" s="13"/>
      <c r="C2" s="13"/>
      <c r="D2" s="13"/>
      <c r="E2" s="13"/>
      <c r="F2" s="13"/>
      <c r="G2" s="13"/>
    </row>
    <row r="4" spans="1:7" ht="15.75" thickBot="1" x14ac:dyDescent="0.3"/>
    <row r="5" spans="1:7" ht="21" thickBot="1" x14ac:dyDescent="0.35">
      <c r="B5" s="30" t="s">
        <v>92</v>
      </c>
      <c r="C5" s="31" t="s">
        <v>104</v>
      </c>
      <c r="D5" s="21"/>
      <c r="E5" s="32">
        <f>_xlfn.XLOOKUP(C5,B7:B15,C7:C15,"...",2)</f>
        <v>16250</v>
      </c>
      <c r="F5" s="21"/>
    </row>
    <row r="6" spans="1:7" ht="15" customHeight="1" thickBot="1" x14ac:dyDescent="0.35">
      <c r="B6" s="21"/>
      <c r="C6" s="21"/>
      <c r="D6" s="21"/>
      <c r="E6" s="21"/>
      <c r="F6" s="21"/>
    </row>
    <row r="7" spans="1:7" ht="18.75" customHeight="1" x14ac:dyDescent="0.35">
      <c r="B7" s="19" t="s">
        <v>91</v>
      </c>
      <c r="C7" s="22">
        <v>18000</v>
      </c>
      <c r="D7" s="21"/>
      <c r="E7" s="45" t="s">
        <v>90</v>
      </c>
      <c r="F7" s="46"/>
    </row>
    <row r="8" spans="1:7" ht="21" x14ac:dyDescent="0.35">
      <c r="B8" s="19" t="s">
        <v>89</v>
      </c>
      <c r="C8" s="22">
        <v>15500</v>
      </c>
      <c r="D8" s="21"/>
      <c r="E8" s="47"/>
      <c r="F8" s="48"/>
    </row>
    <row r="9" spans="1:7" ht="21" x14ac:dyDescent="0.35">
      <c r="B9" s="19" t="s">
        <v>88</v>
      </c>
      <c r="C9" s="22">
        <v>16400</v>
      </c>
      <c r="D9" s="21"/>
      <c r="E9" s="47"/>
      <c r="F9" s="48"/>
    </row>
    <row r="10" spans="1:7" ht="21" x14ac:dyDescent="0.35">
      <c r="B10" s="19" t="s">
        <v>87</v>
      </c>
      <c r="C10" s="22">
        <v>18300</v>
      </c>
      <c r="D10" s="21"/>
      <c r="E10" s="47"/>
      <c r="F10" s="48"/>
    </row>
    <row r="11" spans="1:7" ht="21" x14ac:dyDescent="0.35">
      <c r="B11" s="19" t="s">
        <v>86</v>
      </c>
      <c r="C11" s="22">
        <v>16250</v>
      </c>
      <c r="D11" s="21"/>
      <c r="E11" s="47"/>
      <c r="F11" s="48"/>
    </row>
    <row r="12" spans="1:7" ht="21" x14ac:dyDescent="0.35">
      <c r="B12" s="19" t="s">
        <v>85</v>
      </c>
      <c r="C12" s="22">
        <v>20100</v>
      </c>
      <c r="D12" s="21"/>
      <c r="E12" s="47"/>
      <c r="F12" s="48"/>
    </row>
    <row r="13" spans="1:7" ht="21" x14ac:dyDescent="0.35">
      <c r="B13" s="19" t="s">
        <v>84</v>
      </c>
      <c r="C13" s="22">
        <v>14000</v>
      </c>
      <c r="D13" s="21"/>
      <c r="E13" s="47"/>
      <c r="F13" s="48"/>
    </row>
    <row r="14" spans="1:7" ht="21" x14ac:dyDescent="0.35">
      <c r="B14" s="19" t="s">
        <v>83</v>
      </c>
      <c r="C14" s="22">
        <v>13500</v>
      </c>
      <c r="D14" s="21"/>
      <c r="E14" s="47"/>
      <c r="F14" s="48"/>
    </row>
    <row r="15" spans="1:7" ht="21.75" thickBot="1" x14ac:dyDescent="0.4">
      <c r="B15" s="19" t="s">
        <v>82</v>
      </c>
      <c r="C15" s="22">
        <v>12600</v>
      </c>
      <c r="D15" s="21"/>
      <c r="E15" s="49"/>
      <c r="F15" s="50"/>
    </row>
  </sheetData>
  <mergeCells count="1">
    <mergeCell ref="E7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Intro</vt:lpstr>
      <vt:lpstr>Ejercicio 1</vt:lpstr>
      <vt:lpstr>Ejercicio 2</vt:lpstr>
      <vt:lpstr>Ejercicio 3</vt:lpstr>
      <vt:lpstr>Ejercicio 4</vt:lpstr>
      <vt:lpstr>Comodín - Asterisco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Soporte tecnico 08</cp:lastModifiedBy>
  <dcterms:created xsi:type="dcterms:W3CDTF">2019-03-23T23:04:32Z</dcterms:created>
  <dcterms:modified xsi:type="dcterms:W3CDTF">2026-04-16T19:30:27Z</dcterms:modified>
</cp:coreProperties>
</file>