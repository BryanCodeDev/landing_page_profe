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" sheetId="1" r:id="rId4"/>
    <sheet state="visible" name="Hoja 1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1">
      <text>
        <t xml:space="preserve">Calcula el Subtotal de la Cantidad por el Valor Unitario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6">
      <text>
        <t xml:space="preserve">Calcula el Subtotal de la Cantidad por el Valor Unitario</t>
      </text>
    </comment>
  </commentList>
</comments>
</file>

<file path=xl/sharedStrings.xml><?xml version="1.0" encoding="utf-8"?>
<sst xmlns="http://schemas.openxmlformats.org/spreadsheetml/2006/main" count="58" uniqueCount="30">
  <si>
    <t>@dropdown</t>
  </si>
  <si>
    <t>TIENDA DON JUANCHITO</t>
  </si>
  <si>
    <t>Nº</t>
  </si>
  <si>
    <t>P/N</t>
  </si>
  <si>
    <t>DETALLE</t>
  </si>
  <si>
    <t>CANTIDAD</t>
  </si>
  <si>
    <t>VALOR UNITARIO</t>
  </si>
  <si>
    <t>VALOR TOTAL</t>
  </si>
  <si>
    <t>00001</t>
  </si>
  <si>
    <t>Panela</t>
  </si>
  <si>
    <t>00002</t>
  </si>
  <si>
    <t>Maíz</t>
  </si>
  <si>
    <t>00003</t>
  </si>
  <si>
    <t>Arroz</t>
  </si>
  <si>
    <t>00004</t>
  </si>
  <si>
    <t>Aceite</t>
  </si>
  <si>
    <t>00005</t>
  </si>
  <si>
    <t>Lentejas</t>
  </si>
  <si>
    <t>00006</t>
  </si>
  <si>
    <t>Fríjol</t>
  </si>
  <si>
    <t>00007</t>
  </si>
  <si>
    <t>Garbanzo</t>
  </si>
  <si>
    <t>00008</t>
  </si>
  <si>
    <t>Chocolate</t>
  </si>
  <si>
    <t>00009</t>
  </si>
  <si>
    <t>Mantequilla</t>
  </si>
  <si>
    <t>00010</t>
  </si>
  <si>
    <t>Detergente</t>
  </si>
  <si>
    <t>TOTAL VENTA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</si>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</sst>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&quot;$&quot;\ * #,##0_ ;_ &quot;$&quot;\ * \-#,##0_ ;_ &quot;$&quot;\ * &quot;-&quot;??_ ;_ @_ "/>
    <numFmt numFmtId="165" formatCode="_ &quot;$&quot;\ * #,##0.00_ ;_ &quot;$&quot;\ * \-#,##0.00_ ;_ &quot;$&quot;\ * &quot;-&quot;??_ ;_ @_ "/>
    <numFmt numFmtId="166" formatCode="_ &quot;$&quot;\ * #,##0.00_ ;_ &quot;$&quot;\ * \-#,##0.00_ ;_ &quot;$&quot;\ * &quot;-&quot;??.00_ ;_ @_ "/>
  </numFmts>
  <fonts count="6">
    <font>
      <sz val="10.0"/>
      <color rgb="FF000000"/>
      <name val="Arial"/>
    </font>
    <font>
      <sz val="10.0"/>
      <name val="Arial"/>
    </font>
    <font>
      <u/>
      <sz val="10.0"/>
      <name val="Arial"/>
    </font>
    <font>
      <b/>
      <sz val="10.0"/>
      <name val="Arial"/>
    </font>
    <font/>
    <font>
      <sz val="10.0"/>
    </font>
  </fonts>
  <fills count="6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30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left/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/>
      <top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/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1" fillId="2" fontId="1" numFmtId="0" xfId="0" applyAlignment="1" applyBorder="1" applyFont="1">
      <alignment shrinkToFit="0" wrapText="0"/>
    </xf>
    <xf borderId="1" fillId="2" fontId="2" numFmtId="0" xfId="0" applyAlignment="1" applyBorder="1" applyFont="1">
      <alignment shrinkToFit="0" wrapText="0"/>
    </xf>
    <xf borderId="2" fillId="0" fontId="3" numFmtId="0" xfId="0" applyAlignment="1" applyBorder="1" applyFont="1">
      <alignment horizontal="center" shrinkToFit="0" wrapText="0"/>
    </xf>
    <xf borderId="3" fillId="0" fontId="4" numFmtId="0" xfId="0" applyBorder="1" applyFont="1"/>
    <xf borderId="4" fillId="0" fontId="4" numFmtId="0" xfId="0" applyBorder="1" applyFont="1"/>
    <xf borderId="5" fillId="3" fontId="1" numFmtId="0" xfId="0" applyAlignment="1" applyBorder="1" applyFill="1" applyFont="1">
      <alignment horizontal="center" shrinkToFit="0" wrapText="0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3" numFmtId="0" xfId="0" applyAlignment="1" applyBorder="1" applyFont="1">
      <alignment horizontal="center" shrinkToFit="0" wrapText="0"/>
    </xf>
    <xf borderId="12" fillId="0" fontId="1" numFmtId="0" xfId="0" applyAlignment="1" applyBorder="1" applyFont="1">
      <alignment horizontal="center" shrinkToFit="0" wrapText="0"/>
    </xf>
    <xf borderId="12" fillId="0" fontId="1" numFmtId="49" xfId="0" applyAlignment="1" applyBorder="1" applyFont="1" applyNumberFormat="1">
      <alignment horizontal="center" shrinkToFit="0" wrapText="0"/>
    </xf>
    <xf borderId="12" fillId="0" fontId="1" numFmtId="164" xfId="0" applyAlignment="1" applyBorder="1" applyFont="1" applyNumberFormat="1">
      <alignment horizontal="center" shrinkToFit="0" wrapText="0"/>
    </xf>
    <xf borderId="12" fillId="0" fontId="1" numFmtId="165" xfId="0" applyAlignment="1" applyBorder="1" applyFont="1" applyNumberFormat="1">
      <alignment horizontal="center" shrinkToFit="0" wrapText="0"/>
    </xf>
    <xf borderId="0" fillId="0" fontId="5" numFmtId="0" xfId="0" applyAlignment="1" applyFont="1">
      <alignment readingOrder="0"/>
    </xf>
    <xf borderId="13" fillId="0" fontId="1" numFmtId="0" xfId="0" applyAlignment="1" applyBorder="1" applyFont="1">
      <alignment horizontal="center" shrinkToFit="0" wrapText="0"/>
    </xf>
    <xf borderId="13" fillId="0" fontId="1" numFmtId="49" xfId="0" applyAlignment="1" applyBorder="1" applyFont="1" applyNumberFormat="1">
      <alignment horizontal="center" shrinkToFit="0" wrapText="0"/>
    </xf>
    <xf borderId="13" fillId="0" fontId="1" numFmtId="164" xfId="0" applyAlignment="1" applyBorder="1" applyFont="1" applyNumberFormat="1">
      <alignment horizontal="center" shrinkToFit="0" wrapText="0"/>
    </xf>
    <xf borderId="2" fillId="0" fontId="1" numFmtId="0" xfId="0" applyAlignment="1" applyBorder="1" applyFont="1">
      <alignment horizontal="center" shrinkToFit="0" wrapText="0"/>
    </xf>
    <xf borderId="8" fillId="0" fontId="3" numFmtId="0" xfId="0" applyAlignment="1" applyBorder="1" applyFont="1">
      <alignment horizontal="center" shrinkToFit="0" wrapText="0"/>
    </xf>
    <xf borderId="0" fillId="0" fontId="4" numFmtId="0" xfId="0" applyAlignment="1" applyFont="1">
      <alignment readingOrder="0"/>
    </xf>
    <xf borderId="14" fillId="2" fontId="1" numFmtId="0" xfId="0" applyAlignment="1" applyBorder="1" applyFont="1">
      <alignment shrinkToFit="0" wrapText="0"/>
    </xf>
    <xf borderId="15" fillId="2" fontId="1" numFmtId="0" xfId="0" applyAlignment="1" applyBorder="1" applyFont="1">
      <alignment shrinkToFit="0" wrapText="0"/>
    </xf>
    <xf borderId="16" fillId="0" fontId="3" numFmtId="0" xfId="0" applyAlignment="1" applyBorder="1" applyFont="1">
      <alignment horizontal="center" shrinkToFit="0" wrapText="0"/>
    </xf>
    <xf borderId="17" fillId="0" fontId="4" numFmtId="0" xfId="0" applyBorder="1" applyFont="1"/>
    <xf borderId="18" fillId="0" fontId="4" numFmtId="0" xfId="0" applyBorder="1" applyFont="1"/>
    <xf borderId="19" fillId="2" fontId="1" numFmtId="0" xfId="0" applyAlignment="1" applyBorder="1" applyFont="1">
      <alignment shrinkToFit="0" wrapText="0"/>
    </xf>
    <xf borderId="20" fillId="3" fontId="1" numFmtId="0" xfId="0" applyAlignment="1" applyBorder="1" applyFont="1">
      <alignment horizontal="center" shrinkToFit="0" wrapText="0"/>
    </xf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0" fontId="3" numFmtId="0" xfId="0" applyAlignment="1" applyBorder="1" applyFont="1">
      <alignment horizontal="center" shrinkToFit="0" wrapText="0"/>
    </xf>
    <xf borderId="27" fillId="2" fontId="1" numFmtId="0" xfId="0" applyAlignment="1" applyBorder="1" applyFont="1">
      <alignment shrinkToFit="0" wrapText="0"/>
    </xf>
    <xf borderId="26" fillId="0" fontId="1" numFmtId="0" xfId="0" applyAlignment="1" applyBorder="1" applyFont="1">
      <alignment horizontal="center" shrinkToFit="0" wrapText="0"/>
    </xf>
    <xf borderId="26" fillId="0" fontId="1" numFmtId="49" xfId="0" applyAlignment="1" applyBorder="1" applyFont="1" applyNumberFormat="1">
      <alignment horizontal="center" shrinkToFit="0" wrapText="0"/>
    </xf>
    <xf borderId="26" fillId="0" fontId="1" numFmtId="164" xfId="0" applyAlignment="1" applyBorder="1" applyFont="1" applyNumberFormat="1">
      <alignment horizontal="center" shrinkToFit="0" wrapText="0"/>
    </xf>
    <xf borderId="26" fillId="0" fontId="1" numFmtId="165" xfId="0" applyAlignment="1" applyBorder="1" applyFont="1" applyNumberFormat="1">
      <alignment horizontal="center" shrinkToFit="0" wrapText="0"/>
    </xf>
    <xf borderId="28" fillId="0" fontId="1" numFmtId="165" xfId="0" applyAlignment="1" applyBorder="1" applyFont="1" applyNumberFormat="1">
      <alignment horizontal="center" shrinkToFit="0" wrapText="0"/>
    </xf>
    <xf borderId="28" fillId="4" fontId="1" numFmtId="166" xfId="0" applyAlignment="1" applyBorder="1" applyFill="1" applyFont="1" applyNumberFormat="1">
      <alignment horizontal="center" shrinkToFit="0" wrapText="0"/>
    </xf>
    <xf borderId="16" fillId="0" fontId="1" numFmtId="0" xfId="0" applyAlignment="1" applyBorder="1" applyFont="1">
      <alignment horizontal="center" shrinkToFit="0" wrapText="0"/>
    </xf>
    <xf borderId="29" fillId="2" fontId="1" numFmtId="0" xfId="0" applyAlignment="1" applyBorder="1" applyFont="1">
      <alignment shrinkToFit="0" wrapText="0"/>
    </xf>
    <xf borderId="0" fillId="5" fontId="4" numFmtId="0" xfId="0" applyFill="1" applyFont="1"/>
  </cellXfs>
  <cellStyles count="1">
    <cellStyle xfId="0" name="Normal" builtinId="0"/>
  </cellStyles>
  <dxfs count="1">
    <dxf>
      <font>
        <color rgb="FF0000FF"/>
      </font>
      <fill>
        <patternFill patternType="solid">
          <fgColor rgb="FFFFCC99"/>
          <bgColor rgb="FFFFCC99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2" width="10.0"/>
    <col customWidth="1" min="3" max="3" width="9.5"/>
    <col customWidth="1" min="4" max="4" width="2.63"/>
    <col customWidth="1" min="5" max="5" width="5.25"/>
    <col customWidth="1" min="6" max="7" width="9.13"/>
    <col customWidth="1" min="8" max="8" width="14.88"/>
    <col customWidth="1" min="9" max="9" width="16.75"/>
    <col customWidth="1" min="10" max="20" width="10.0"/>
    <col customWidth="1" min="21" max="26" width="8.75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/>
      <c r="B8" s="2"/>
      <c r="C8" s="2"/>
      <c r="D8" s="4" t="s">
        <v>1</v>
      </c>
      <c r="E8" s="5"/>
      <c r="F8" s="5"/>
      <c r="G8" s="5"/>
      <c r="H8" s="5"/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"/>
      <c r="C9" s="2"/>
      <c r="D9" s="7"/>
      <c r="E9" s="8"/>
      <c r="F9" s="8"/>
      <c r="G9" s="8"/>
      <c r="H9" s="8"/>
      <c r="I9" s="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/>
      <c r="B10" s="2"/>
      <c r="C10" s="2"/>
      <c r="D10" s="10"/>
      <c r="E10" s="11"/>
      <c r="F10" s="11"/>
      <c r="G10" s="11"/>
      <c r="H10" s="11"/>
      <c r="I10" s="1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13" t="s">
        <v>2</v>
      </c>
      <c r="E11" s="13" t="s">
        <v>3</v>
      </c>
      <c r="F11" s="13" t="s">
        <v>4</v>
      </c>
      <c r="G11" s="13" t="s">
        <v>5</v>
      </c>
      <c r="H11" s="13" t="s">
        <v>6</v>
      </c>
      <c r="I11" s="13" t="s">
        <v>7</v>
      </c>
      <c r="J11" s="1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14">
        <v>1.0</v>
      </c>
      <c r="E12" s="15" t="s">
        <v>8</v>
      </c>
      <c r="F12" s="14" t="s">
        <v>9</v>
      </c>
      <c r="G12" s="14">
        <v>5.0</v>
      </c>
      <c r="H12" s="16">
        <v>1300.0</v>
      </c>
      <c r="I12" s="17">
        <f t="shared" ref="I12:I21" si="1">G12*H12</f>
        <v>6500</v>
      </c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14">
        <v>2.0</v>
      </c>
      <c r="E13" s="15" t="s">
        <v>10</v>
      </c>
      <c r="F13" s="14" t="s">
        <v>11</v>
      </c>
      <c r="G13" s="14">
        <v>5.0</v>
      </c>
      <c r="H13" s="16">
        <v>1100.0</v>
      </c>
      <c r="I13" s="17">
        <f t="shared" si="1"/>
        <v>5500</v>
      </c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"/>
      <c r="C14" s="2"/>
      <c r="D14" s="14">
        <v>3.0</v>
      </c>
      <c r="E14" s="15" t="s">
        <v>12</v>
      </c>
      <c r="F14" s="14" t="s">
        <v>13</v>
      </c>
      <c r="G14" s="14">
        <v>7.0</v>
      </c>
      <c r="H14" s="16">
        <v>1600.0</v>
      </c>
      <c r="I14" s="17">
        <f t="shared" si="1"/>
        <v>11200</v>
      </c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14">
        <v>4.0</v>
      </c>
      <c r="E15" s="15" t="s">
        <v>14</v>
      </c>
      <c r="F15" s="14" t="s">
        <v>15</v>
      </c>
      <c r="G15" s="14">
        <v>2.0</v>
      </c>
      <c r="H15" s="16">
        <v>12000.0</v>
      </c>
      <c r="I15" s="17">
        <f t="shared" si="1"/>
        <v>24000</v>
      </c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14">
        <v>5.0</v>
      </c>
      <c r="E16" s="15" t="s">
        <v>16</v>
      </c>
      <c r="F16" s="14" t="s">
        <v>17</v>
      </c>
      <c r="G16" s="14">
        <v>5.0</v>
      </c>
      <c r="H16" s="16">
        <v>1600.0</v>
      </c>
      <c r="I16" s="17">
        <f t="shared" si="1"/>
        <v>8000</v>
      </c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14">
        <v>6.0</v>
      </c>
      <c r="E17" s="15" t="s">
        <v>18</v>
      </c>
      <c r="F17" s="14" t="s">
        <v>19</v>
      </c>
      <c r="G17" s="14">
        <v>6.0</v>
      </c>
      <c r="H17" s="16">
        <v>4100.0</v>
      </c>
      <c r="I17" s="17">
        <f t="shared" si="1"/>
        <v>24600</v>
      </c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14">
        <v>7.0</v>
      </c>
      <c r="E18" s="15" t="s">
        <v>20</v>
      </c>
      <c r="F18" s="14" t="s">
        <v>21</v>
      </c>
      <c r="G18" s="14">
        <v>6.0</v>
      </c>
      <c r="H18" s="16">
        <v>2400.0</v>
      </c>
      <c r="I18" s="17">
        <f t="shared" si="1"/>
        <v>14400</v>
      </c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14">
        <v>8.0</v>
      </c>
      <c r="E19" s="15" t="s">
        <v>22</v>
      </c>
      <c r="F19" s="14" t="s">
        <v>23</v>
      </c>
      <c r="G19" s="14">
        <v>4.0</v>
      </c>
      <c r="H19" s="16">
        <v>7200.0</v>
      </c>
      <c r="I19" s="17">
        <f t="shared" si="1"/>
        <v>28800</v>
      </c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14">
        <v>9.0</v>
      </c>
      <c r="E20" s="15" t="s">
        <v>24</v>
      </c>
      <c r="F20" s="14" t="s">
        <v>25</v>
      </c>
      <c r="G20" s="14">
        <v>2.0</v>
      </c>
      <c r="H20" s="16">
        <v>9300.0</v>
      </c>
      <c r="I20" s="17">
        <f t="shared" si="1"/>
        <v>18600</v>
      </c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19">
        <v>10.0</v>
      </c>
      <c r="E21" s="20" t="s">
        <v>26</v>
      </c>
      <c r="F21" s="19" t="s">
        <v>27</v>
      </c>
      <c r="G21" s="19">
        <v>4.0</v>
      </c>
      <c r="H21" s="21">
        <v>2100.0</v>
      </c>
      <c r="I21" s="17">
        <f t="shared" si="1"/>
        <v>8400</v>
      </c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2"/>
      <c r="E22" s="6"/>
      <c r="F22" s="23" t="s">
        <v>28</v>
      </c>
      <c r="G22" s="11"/>
      <c r="H22" s="12"/>
      <c r="I22" s="17">
        <f>SUM(I12:I21)</f>
        <v>150000</v>
      </c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4">
    <mergeCell ref="D8:I8"/>
    <mergeCell ref="D9:I10"/>
    <mergeCell ref="D22:E22"/>
    <mergeCell ref="F22:H22"/>
  </mergeCells>
  <conditionalFormatting sqref="I12:I22 J12">
    <cfRule type="expression" dxfId="0" priority="1">
      <formula>IF(AND(G12&gt;0,H12&gt;0),G12*H12,"")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1">
      <c r="G1" s="2"/>
      <c r="H1" s="2"/>
      <c r="I1" s="2"/>
      <c r="J1" s="2"/>
      <c r="K1" s="2"/>
      <c r="L1" s="2"/>
      <c r="M1" s="2"/>
      <c r="N1" s="2"/>
      <c r="O1" s="2"/>
    </row>
    <row r="2">
      <c r="A2" s="24" t="s">
        <v>29</v>
      </c>
      <c r="G2" s="2"/>
      <c r="H2" s="25"/>
      <c r="I2" s="25"/>
      <c r="J2" s="25"/>
      <c r="K2" s="25"/>
      <c r="L2" s="25"/>
      <c r="M2" s="25"/>
      <c r="N2" s="2"/>
      <c r="O2" s="2"/>
    </row>
    <row r="3">
      <c r="G3" s="26"/>
      <c r="H3" s="27" t="s">
        <v>1</v>
      </c>
      <c r="I3" s="28"/>
      <c r="J3" s="28"/>
      <c r="K3" s="28"/>
      <c r="L3" s="28"/>
      <c r="M3" s="29"/>
      <c r="N3" s="30"/>
      <c r="O3" s="2"/>
    </row>
    <row r="4">
      <c r="G4" s="26"/>
      <c r="H4" s="31"/>
      <c r="I4" s="32"/>
      <c r="J4" s="32"/>
      <c r="K4" s="32"/>
      <c r="L4" s="32"/>
      <c r="M4" s="33"/>
      <c r="N4" s="30"/>
      <c r="O4" s="2"/>
    </row>
    <row r="5">
      <c r="G5" s="26"/>
      <c r="H5" s="34"/>
      <c r="I5" s="35"/>
      <c r="J5" s="35"/>
      <c r="K5" s="35"/>
      <c r="L5" s="35"/>
      <c r="M5" s="36"/>
      <c r="N5" s="30"/>
      <c r="O5" s="2"/>
    </row>
    <row r="6">
      <c r="G6" s="26"/>
      <c r="H6" s="37" t="s">
        <v>2</v>
      </c>
      <c r="I6" s="37" t="s">
        <v>3</v>
      </c>
      <c r="J6" s="37" t="s">
        <v>4</v>
      </c>
      <c r="K6" s="37" t="s">
        <v>5</v>
      </c>
      <c r="L6" s="37" t="s">
        <v>6</v>
      </c>
      <c r="M6" s="37" t="s">
        <v>7</v>
      </c>
      <c r="N6" s="38"/>
      <c r="O6" s="2"/>
    </row>
    <row r="7">
      <c r="G7" s="26"/>
      <c r="H7" s="39">
        <v>1.0</v>
      </c>
      <c r="I7" s="40" t="s">
        <v>8</v>
      </c>
      <c r="J7" s="39" t="s">
        <v>9</v>
      </c>
      <c r="K7" s="39">
        <v>5.0</v>
      </c>
      <c r="L7" s="41">
        <v>1300.0</v>
      </c>
      <c r="M7" s="42">
        <f t="shared" ref="M7:M16" si="1">K7*L7</f>
        <v>6500</v>
      </c>
      <c r="N7" s="43">
        <f t="shared" ref="N7:N16" si="2">SUM(L7+M7)</f>
        <v>7800</v>
      </c>
      <c r="O7" s="30"/>
    </row>
    <row r="8">
      <c r="G8" s="26"/>
      <c r="H8" s="39">
        <v>2.0</v>
      </c>
      <c r="I8" s="40" t="s">
        <v>10</v>
      </c>
      <c r="J8" s="39" t="s">
        <v>11</v>
      </c>
      <c r="K8" s="39">
        <v>5.0</v>
      </c>
      <c r="L8" s="41">
        <v>1100.0</v>
      </c>
      <c r="M8" s="42">
        <f t="shared" si="1"/>
        <v>5500</v>
      </c>
      <c r="N8" s="44">
        <f t="shared" si="2"/>
        <v>6600</v>
      </c>
      <c r="O8" s="2"/>
    </row>
    <row r="9">
      <c r="G9" s="26"/>
      <c r="H9" s="39">
        <v>3.0</v>
      </c>
      <c r="I9" s="40" t="s">
        <v>12</v>
      </c>
      <c r="J9" s="39" t="s">
        <v>13</v>
      </c>
      <c r="K9" s="39">
        <v>7.0</v>
      </c>
      <c r="L9" s="41">
        <v>1600.0</v>
      </c>
      <c r="M9" s="42">
        <f t="shared" si="1"/>
        <v>11200</v>
      </c>
      <c r="N9" s="44">
        <f t="shared" si="2"/>
        <v>12800</v>
      </c>
      <c r="O9" s="2"/>
    </row>
    <row r="10">
      <c r="H10" s="39">
        <v>4.0</v>
      </c>
      <c r="I10" s="40" t="s">
        <v>14</v>
      </c>
      <c r="J10" s="39" t="s">
        <v>15</v>
      </c>
      <c r="K10" s="39">
        <v>2.0</v>
      </c>
      <c r="L10" s="41">
        <v>12000.0</v>
      </c>
      <c r="M10" s="42">
        <f t="shared" si="1"/>
        <v>24000</v>
      </c>
      <c r="N10" s="44">
        <f t="shared" si="2"/>
        <v>36000</v>
      </c>
      <c r="O10" s="2"/>
    </row>
    <row r="11">
      <c r="H11" s="39">
        <v>5.0</v>
      </c>
      <c r="I11" s="40" t="s">
        <v>16</v>
      </c>
      <c r="J11" s="39" t="s">
        <v>17</v>
      </c>
      <c r="K11" s="39">
        <v>5.0</v>
      </c>
      <c r="L11" s="41">
        <v>1600.0</v>
      </c>
      <c r="M11" s="42">
        <f t="shared" si="1"/>
        <v>8000</v>
      </c>
      <c r="N11" s="44">
        <f t="shared" si="2"/>
        <v>9600</v>
      </c>
      <c r="O11" s="2"/>
    </row>
    <row r="12">
      <c r="G12" s="26"/>
      <c r="H12" s="39">
        <v>6.0</v>
      </c>
      <c r="I12" s="40" t="s">
        <v>18</v>
      </c>
      <c r="J12" s="39" t="s">
        <v>19</v>
      </c>
      <c r="K12" s="39">
        <v>6.0</v>
      </c>
      <c r="L12" s="41">
        <v>4100.0</v>
      </c>
      <c r="M12" s="42">
        <f t="shared" si="1"/>
        <v>24600</v>
      </c>
      <c r="N12" s="44">
        <f t="shared" si="2"/>
        <v>28700</v>
      </c>
      <c r="O12" s="2"/>
    </row>
    <row r="13">
      <c r="G13" s="26"/>
      <c r="H13" s="39">
        <v>7.0</v>
      </c>
      <c r="I13" s="40" t="s">
        <v>20</v>
      </c>
      <c r="J13" s="39" t="s">
        <v>21</v>
      </c>
      <c r="K13" s="39">
        <v>6.0</v>
      </c>
      <c r="L13" s="41">
        <v>2400.0</v>
      </c>
      <c r="M13" s="42">
        <f t="shared" si="1"/>
        <v>14400</v>
      </c>
      <c r="N13" s="44">
        <f t="shared" si="2"/>
        <v>16800</v>
      </c>
      <c r="O13" s="2"/>
    </row>
    <row r="14">
      <c r="G14" s="26"/>
      <c r="H14" s="26"/>
      <c r="I14" s="40" t="s">
        <v>22</v>
      </c>
      <c r="J14" s="39" t="s">
        <v>23</v>
      </c>
      <c r="K14" s="39">
        <v>4.0</v>
      </c>
      <c r="L14" s="41">
        <v>7200.0</v>
      </c>
      <c r="M14" s="42">
        <f t="shared" si="1"/>
        <v>28800</v>
      </c>
      <c r="N14" s="44">
        <f t="shared" si="2"/>
        <v>36000</v>
      </c>
      <c r="O14" s="2"/>
    </row>
    <row r="15">
      <c r="G15" s="26"/>
      <c r="H15" s="26"/>
      <c r="I15" s="40" t="s">
        <v>24</v>
      </c>
      <c r="J15" s="39" t="s">
        <v>25</v>
      </c>
      <c r="K15" s="39">
        <v>2.0</v>
      </c>
      <c r="L15" s="41">
        <v>9300.0</v>
      </c>
      <c r="M15" s="42">
        <f t="shared" si="1"/>
        <v>18600</v>
      </c>
      <c r="N15" s="44">
        <f t="shared" si="2"/>
        <v>27900</v>
      </c>
      <c r="O15" s="2"/>
    </row>
    <row r="16">
      <c r="G16" s="26"/>
      <c r="H16" s="39">
        <v>10.0</v>
      </c>
      <c r="I16" s="40" t="s">
        <v>26</v>
      </c>
      <c r="J16" s="39" t="s">
        <v>27</v>
      </c>
      <c r="K16" s="39">
        <v>4.0</v>
      </c>
      <c r="L16" s="41">
        <v>2100.0</v>
      </c>
      <c r="M16" s="42">
        <f t="shared" si="1"/>
        <v>8400</v>
      </c>
      <c r="N16" s="44">
        <f t="shared" si="2"/>
        <v>10500</v>
      </c>
      <c r="O16" s="2"/>
    </row>
    <row r="17">
      <c r="G17" s="26"/>
      <c r="H17" s="45"/>
      <c r="I17" s="29"/>
      <c r="J17" s="27" t="s">
        <v>28</v>
      </c>
      <c r="K17" s="28"/>
      <c r="L17" s="29"/>
      <c r="M17" s="42">
        <f>SUM(M7:M16)</f>
        <v>150000</v>
      </c>
      <c r="N17" s="43">
        <f>SUM(N7+N16)</f>
        <v>18300</v>
      </c>
      <c r="O17" s="2"/>
    </row>
    <row r="18">
      <c r="G18" s="2"/>
      <c r="H18" s="46"/>
      <c r="I18" s="46"/>
      <c r="J18" s="46"/>
      <c r="K18" s="46"/>
      <c r="L18" s="46"/>
      <c r="M18" s="46"/>
      <c r="N18" s="2"/>
      <c r="O18" s="2"/>
    </row>
    <row r="19">
      <c r="G19" s="47"/>
    </row>
  </sheetData>
  <mergeCells count="4">
    <mergeCell ref="H3:M3"/>
    <mergeCell ref="H4:M5"/>
    <mergeCell ref="H17:I17"/>
    <mergeCell ref="J17:L17"/>
  </mergeCells>
  <conditionalFormatting sqref="M7:M17 N7">
    <cfRule type="expression" dxfId="0" priority="1">
      <formula>IF(AND(K7&gt;0,L7&gt;0),K7*L7,"")</formula>
    </cfRule>
  </conditionalFormatting>
  <drawing r:id="rId2"/>
  <legacyDrawing r:id="rId3"/>
</worksheet>
</file>